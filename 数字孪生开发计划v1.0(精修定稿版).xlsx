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开发计划定稿版" sheetId="1" r:id="rId1"/>
  </sheets>
  <definedNames>
    <definedName name="_xlnm._FilterDatabase" localSheetId="0" hidden="1">开发计划定稿版!$A$1:$I$500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<sst xmlns="http://schemas.openxmlformats.org/spreadsheetml/2006/main" count="413" uniqueCount="91">
  <si>
    <t>序号</t>
  </si>
  <si>
    <t>功能模块</t>
  </si>
  <si>
    <t>责任人</t>
  </si>
  <si>
    <t>计划开始时间</t>
  </si>
  <si>
    <t>计划结束时间</t>
  </si>
  <si>
    <t>预估工作量(天)</t>
  </si>
  <si>
    <t>完成状态</t>
  </si>
  <si>
    <t>进度(%)</t>
  </si>
  <si>
    <t>备注</t>
  </si>
  <si>
    <t>环境监测</t>
  </si>
  <si>
    <t>黄浩亮、梁润锦、冼浩鹏</t>
  </si>
  <si>
    <t>进行中</t>
  </si>
  <si>
    <t>前端</t>
  </si>
  <si>
    <t>黄浩亮</t>
  </si>
  <si>
    <t>1.1.1</t>
  </si>
  <si>
    <t>与三维模型交互</t>
  </si>
  <si>
    <t>1.1.2</t>
  </si>
  <si>
    <t>UI设计与页面开发</t>
  </si>
  <si>
    <t>1.1.3</t>
  </si>
  <si>
    <t>接口对接与数据联调</t>
  </si>
  <si>
    <t>完成</t>
  </si>
  <si>
    <t>1.1.4</t>
  </si>
  <si>
    <t>页面设计</t>
  </si>
  <si>
    <t>建模</t>
  </si>
  <si>
    <t>梁润锦</t>
  </si>
  <si>
    <t>UE交互</t>
  </si>
  <si>
    <t>冼浩鹏</t>
  </si>
  <si>
    <t>能源检测</t>
  </si>
  <si>
    <t>2.1.1</t>
  </si>
  <si>
    <t>2.1.2</t>
  </si>
  <si>
    <t>2.1.3</t>
  </si>
  <si>
    <t>环境监测(分类)</t>
  </si>
  <si>
    <t>3.1.1</t>
  </si>
  <si>
    <t>3.1.2</t>
  </si>
  <si>
    <t>3.1.3</t>
  </si>
  <si>
    <t>安防监控</t>
  </si>
  <si>
    <t>4.1.1</t>
  </si>
  <si>
    <t>4.1.2</t>
  </si>
  <si>
    <t>4.1.3</t>
  </si>
  <si>
    <t>告警管理</t>
  </si>
  <si>
    <t>5.1.1</t>
  </si>
  <si>
    <t>5.1.2</t>
  </si>
  <si>
    <t>5.1.3</t>
  </si>
  <si>
    <t>人员检测</t>
  </si>
  <si>
    <t>6.1.1</t>
  </si>
  <si>
    <t>6.1.2</t>
  </si>
  <si>
    <t>6.1.3</t>
  </si>
  <si>
    <t>装卸作业</t>
  </si>
  <si>
    <t>7.1.1</t>
  </si>
  <si>
    <t>7.1.2</t>
  </si>
  <si>
    <t>7.1.3</t>
  </si>
  <si>
    <t>堆场作业</t>
  </si>
  <si>
    <t>8.1.1</t>
  </si>
  <si>
    <t>8.1.2</t>
  </si>
  <si>
    <t>8.1.3</t>
  </si>
  <si>
    <t>仓储作业</t>
  </si>
  <si>
    <t>9.1.1</t>
  </si>
  <si>
    <t>9.1.2</t>
  </si>
  <si>
    <t>9.1.3</t>
  </si>
  <si>
    <t>作业推演</t>
  </si>
  <si>
    <t>10.1.1</t>
  </si>
  <si>
    <t>10.1.2</t>
  </si>
  <si>
    <t>10.1.3</t>
  </si>
  <si>
    <t>作业安全</t>
  </si>
  <si>
    <t>11.1.1</t>
  </si>
  <si>
    <t>11.1.2</t>
  </si>
  <si>
    <t>11.1.3</t>
  </si>
  <si>
    <t>物资监控</t>
  </si>
  <si>
    <t>12.1.1</t>
  </si>
  <si>
    <t>12.1.2</t>
  </si>
  <si>
    <t>12.1.3</t>
  </si>
  <si>
    <t>库房监测</t>
  </si>
  <si>
    <t>13.1.1</t>
  </si>
  <si>
    <t>13.1.2</t>
  </si>
  <si>
    <t>13.1.3</t>
  </si>
  <si>
    <t>设备监控</t>
  </si>
  <si>
    <t>14.1.1</t>
  </si>
  <si>
    <t>14.1.2</t>
  </si>
  <si>
    <t>14.1.3</t>
  </si>
  <si>
    <t>环境治理</t>
  </si>
  <si>
    <t>15.1.1</t>
  </si>
  <si>
    <t>15.1.2</t>
  </si>
  <si>
    <t>15.1.3</t>
  </si>
  <si>
    <t>流程管理</t>
  </si>
  <si>
    <t>16.1.1</t>
  </si>
  <si>
    <t>16.1.2</t>
  </si>
  <si>
    <t>16.1.3</t>
  </si>
  <si>
    <t>UI及图件优化</t>
  </si>
  <si>
    <t>17.1.1</t>
  </si>
  <si>
    <t>17.1.2</t>
  </si>
  <si>
    <t>17.1.3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</si>
</sst>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b/>
      <sz val="11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sz val="11"/>
      <color rgb="FF92D05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7EBD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5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14" fontId="5" fillId="2" borderId="1" xfId="0" applyNumberFormat="1" applyFont="1" applyFill="1" applyBorder="1">
      <alignment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left" vertical="center" indent="2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 indent="4"/>
    </xf>
    <xf numFmtId="9" fontId="7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9" fontId="6" fillId="3" borderId="1" xfId="0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/>
  </sheetPr>
  <dimension ref="A1:I500"/>
  <sheetViews>
    <sheetView tabSelected="1" workbookViewId="0">
      <pane topLeftCell="A1" activePane="bottomRight" state="frozen"/>
      <selection activeCell="I15" sqref="I15"/>
    </sheetView>
  </sheetViews>
  <sheetFormatPr defaultColWidth="9" defaultRowHeight="13.5"/>
  <cols>
    <col min="1" max="1" width="6.875" customWidth="1"/>
    <col min="2" max="2" width="35.625" customWidth="1"/>
    <col min="3" max="3" width="23.375" customWidth="1"/>
    <col min="4" max="4" width="19.5" customWidth="1"/>
    <col min="5" max="5" width="28.125" customWidth="1"/>
    <col min="6" max="6" width="10.875" customWidth="1"/>
    <col min="7" max="7" width="20.75" customWidth="1"/>
    <col min="8" max="8" width="18.25" customWidth="1"/>
    <col min="9" max="9" width="22.625" customWidth="1"/>
  </cols>
  <sheetData>
    <row r="1" ht="18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1" customFormat="1" ht="15" spans="1:9">
      <c r="A2" s="5">
        <v>1</v>
      </c>
      <c r="B2" s="5" t="s">
        <v>9</v>
      </c>
      <c r="C2" s="5" t="s">
        <v>10</v>
      </c>
      <c r="D2" s="6">
        <v>46113</v>
      </c>
      <c r="E2" s="6">
        <v>46142</v>
      </c>
      <c r="F2" s="5"/>
      <c r="G2" s="5" t="s">
        <v>11</v>
      </c>
      <c r="H2" s="7">
        <v>0</v>
      </c>
      <c r="I2" s="5"/>
    </row>
    <row r="3" s="2" customFormat="1" ht="16.5" outlineLevel="1" spans="1:9">
      <c r="A3" s="8">
        <v>1.1</v>
      </c>
      <c r="B3" s="9" t="s">
        <v>12</v>
      </c>
      <c r="C3" s="8" t="s">
        <v>13</v>
      </c>
      <c r="D3" s="8"/>
      <c r="E3" s="8"/>
      <c r="F3" s="8"/>
      <c r="G3" s="8" t="s">
        <v>11</v>
      </c>
      <c r="H3" s="8">
        <f>AVERAGE(H6)</f>
        <v>1</v>
      </c>
      <c r="I3" s="8"/>
    </row>
    <row r="4" s="3" customFormat="1" ht="16.5" outlineLevel="2" spans="1:9">
      <c r="A4" s="10" t="s">
        <v>14</v>
      </c>
      <c r="B4" s="11" t="s">
        <v>15</v>
      </c>
      <c r="C4" s="10" t="s">
        <v>13</v>
      </c>
      <c r="D4" s="10"/>
      <c r="E4" s="10"/>
      <c r="F4" s="10"/>
      <c r="G4" s="10" t="s">
        <v>11</v>
      </c>
      <c r="H4" s="12">
        <v>0</v>
      </c>
      <c r="I4" s="10"/>
    </row>
    <row r="5" s="3" customFormat="1" ht="16.5" outlineLevel="2" spans="1:9">
      <c r="A5" s="10" t="s">
        <v>16</v>
      </c>
      <c r="B5" s="11" t="s">
        <v>17</v>
      </c>
      <c r="C5" s="10" t="s">
        <v>13</v>
      </c>
      <c r="D5" s="10"/>
      <c r="E5" s="10"/>
      <c r="F5" s="10"/>
      <c r="G5" s="10" t="s">
        <v>11</v>
      </c>
      <c r="H5" s="12">
        <v>0</v>
      </c>
      <c r="I5" s="10"/>
    </row>
    <row r="6" s="2" customFormat="1" ht="16.5" outlineLevel="2" collapsed="1" spans="1:9">
      <c r="A6" s="10" t="s">
        <v>18</v>
      </c>
      <c r="B6" s="11" t="s">
        <v>19</v>
      </c>
      <c r="C6" s="10" t="s">
        <v>13</v>
      </c>
      <c r="D6" s="10"/>
      <c r="E6" s="10"/>
      <c r="F6" s="10"/>
      <c r="G6" s="13" t="s">
        <v>20</v>
      </c>
      <c r="H6" s="12">
        <v>1</v>
      </c>
      <c r="I6" s="10"/>
    </row>
    <row r="7" s="2" customFormat="1" ht="16.5" outlineLevel="2" collapsed="1" spans="1:9">
      <c r="A7" s="10" t="s">
        <v>21</v>
      </c>
      <c r="B7" s="11" t="s">
        <v>22</v>
      </c>
      <c r="C7" s="10"/>
      <c r="D7" s="10"/>
      <c r="E7" s="10"/>
      <c r="F7" s="10"/>
      <c r="G7" s="10"/>
      <c r="H7" s="10">
        <v>0</v>
      </c>
      <c r="I7" s="10"/>
    </row>
    <row r="8" s="2" customFormat="1" ht="16.5" outlineLevel="1" collapsed="1" spans="1:9">
      <c r="A8" s="8">
        <v>1.2</v>
      </c>
      <c r="B8" s="9" t="s">
        <v>23</v>
      </c>
      <c r="C8" s="8" t="s">
        <v>24</v>
      </c>
      <c r="D8" s="8"/>
      <c r="E8" s="8"/>
      <c r="F8" s="8"/>
      <c r="G8" s="8" t="s">
        <v>11</v>
      </c>
      <c r="H8" s="14">
        <v>0</v>
      </c>
      <c r="I8" s="8"/>
    </row>
    <row r="9" s="2" customFormat="1" ht="16.5" outlineLevel="1" spans="1:9">
      <c r="A9" s="8">
        <v>1.3</v>
      </c>
      <c r="B9" s="9" t="s">
        <v>25</v>
      </c>
      <c r="C9" s="8" t="s">
        <v>26</v>
      </c>
      <c r="D9" s="8"/>
      <c r="E9" s="8"/>
      <c r="F9" s="8"/>
      <c r="G9" s="8" t="s">
        <v>11</v>
      </c>
      <c r="H9" s="8">
        <f>H10*0.5+H14*0.3+H15*0.2</f>
        <v>0</v>
      </c>
      <c r="I9" s="8"/>
    </row>
    <row r="10" s="1" customFormat="1" ht="15" spans="1:9">
      <c r="A10" s="5">
        <v>2</v>
      </c>
      <c r="B10" s="5" t="s">
        <v>27</v>
      </c>
      <c r="C10" s="5" t="s">
        <v>10</v>
      </c>
      <c r="D10" s="6">
        <v>46113</v>
      </c>
      <c r="E10" s="6">
        <v>46142</v>
      </c>
      <c r="F10" s="5"/>
      <c r="G10" s="5" t="s">
        <v>11</v>
      </c>
      <c r="H10" s="7">
        <v>0</v>
      </c>
      <c r="I10" s="5"/>
    </row>
    <row r="11" s="2" customFormat="1" ht="16.5" outlineLevel="1" spans="1:9">
      <c r="A11" s="8">
        <v>2.1</v>
      </c>
      <c r="B11" s="9" t="s">
        <v>12</v>
      </c>
      <c r="C11" s="8" t="s">
        <v>13</v>
      </c>
      <c r="D11" s="8"/>
      <c r="E11" s="8"/>
      <c r="F11" s="8"/>
      <c r="G11" s="8" t="s">
        <v>11</v>
      </c>
      <c r="H11" s="8">
        <v>0</v>
      </c>
      <c r="I11" s="8"/>
    </row>
    <row r="12" s="1" customFormat="1" ht="16.5" outlineLevel="2" spans="1:9">
      <c r="A12" s="10" t="s">
        <v>28</v>
      </c>
      <c r="B12" s="11" t="s">
        <v>17</v>
      </c>
      <c r="C12" s="10" t="s">
        <v>13</v>
      </c>
      <c r="D12" s="10"/>
      <c r="E12" s="10"/>
      <c r="F12" s="10"/>
      <c r="G12" s="10" t="s">
        <v>11</v>
      </c>
      <c r="H12" s="10">
        <v>0</v>
      </c>
      <c r="I12" s="10"/>
    </row>
    <row r="13" s="2" customFormat="1" ht="16.5" outlineLevel="2" collapsed="1" spans="1:9">
      <c r="A13" s="10" t="s">
        <v>29</v>
      </c>
      <c r="B13" s="11" t="s">
        <v>19</v>
      </c>
      <c r="C13" s="10" t="s">
        <v>13</v>
      </c>
      <c r="D13" s="10"/>
      <c r="E13" s="10"/>
      <c r="F13" s="10"/>
      <c r="G13" s="10" t="s">
        <v>11</v>
      </c>
      <c r="H13" s="12">
        <v>1</v>
      </c>
      <c r="I13" s="10"/>
    </row>
    <row r="14" s="3" customFormat="1" ht="16.5" outlineLevel="2" spans="1:9">
      <c r="A14" s="10" t="s">
        <v>30</v>
      </c>
      <c r="B14" s="11" t="s">
        <v>15</v>
      </c>
      <c r="C14" s="10" t="s">
        <v>13</v>
      </c>
      <c r="D14" s="10"/>
      <c r="E14" s="10"/>
      <c r="F14" s="10"/>
      <c r="G14" s="10" t="s">
        <v>11</v>
      </c>
      <c r="H14" s="10">
        <v>0</v>
      </c>
      <c r="I14" s="10"/>
    </row>
    <row r="15" s="2" customFormat="1" ht="16.5" outlineLevel="1" collapsed="1" spans="1:9">
      <c r="A15" s="8">
        <v>2.2</v>
      </c>
      <c r="B15" s="9" t="s">
        <v>23</v>
      </c>
      <c r="C15" s="8" t="s">
        <v>24</v>
      </c>
      <c r="D15" s="8"/>
      <c r="E15" s="8"/>
      <c r="F15" s="8"/>
      <c r="G15" s="8" t="s">
        <v>11</v>
      </c>
      <c r="H15" s="14">
        <v>0</v>
      </c>
      <c r="I15" s="8"/>
    </row>
    <row r="16" s="2" customFormat="1" ht="16.5" outlineLevel="1" spans="1:9">
      <c r="A16" s="8">
        <v>2.3</v>
      </c>
      <c r="B16" s="9" t="s">
        <v>25</v>
      </c>
      <c r="C16" s="8" t="s">
        <v>26</v>
      </c>
      <c r="D16" s="8"/>
      <c r="E16" s="8"/>
      <c r="F16" s="8"/>
      <c r="G16" s="8" t="s">
        <v>11</v>
      </c>
      <c r="H16" s="8">
        <f>H17*0.5+H21*0.3+H22*0.2</f>
        <v>0</v>
      </c>
      <c r="I16" s="8"/>
    </row>
    <row r="17" s="1" customFormat="1" ht="15" spans="1:9">
      <c r="A17" s="5">
        <v>3</v>
      </c>
      <c r="B17" s="5" t="s">
        <v>31</v>
      </c>
      <c r="C17" s="5" t="s">
        <v>10</v>
      </c>
      <c r="D17" s="6">
        <v>46113</v>
      </c>
      <c r="E17" s="6">
        <v>46142</v>
      </c>
      <c r="F17" s="5"/>
      <c r="G17" s="5" t="s">
        <v>11</v>
      </c>
      <c r="H17" s="7">
        <v>0</v>
      </c>
      <c r="I17" s="5"/>
    </row>
    <row r="18" s="2" customFormat="1" ht="16.5" outlineLevel="1" spans="1:9">
      <c r="A18" s="8">
        <v>3.1</v>
      </c>
      <c r="B18" s="9" t="s">
        <v>12</v>
      </c>
      <c r="C18" s="8" t="s">
        <v>13</v>
      </c>
      <c r="D18" s="8"/>
      <c r="E18" s="8"/>
      <c r="F18" s="8"/>
      <c r="G18" s="8" t="s">
        <v>11</v>
      </c>
      <c r="H18" s="8">
        <v>0</v>
      </c>
      <c r="I18" s="8"/>
    </row>
    <row r="19" s="1" customFormat="1" ht="16.5" outlineLevel="2" spans="1:9">
      <c r="A19" s="10" t="s">
        <v>32</v>
      </c>
      <c r="B19" s="11" t="s">
        <v>17</v>
      </c>
      <c r="C19" s="10" t="s">
        <v>13</v>
      </c>
      <c r="D19" s="10"/>
      <c r="E19" s="10"/>
      <c r="F19" s="10"/>
      <c r="G19" s="10" t="s">
        <v>11</v>
      </c>
      <c r="H19" s="10">
        <v>0</v>
      </c>
      <c r="I19" s="10"/>
    </row>
    <row r="20" s="2" customFormat="1" ht="16.5" outlineLevel="2" collapsed="1" spans="1:9">
      <c r="A20" s="10" t="s">
        <v>33</v>
      </c>
      <c r="B20" s="11" t="s">
        <v>19</v>
      </c>
      <c r="C20" s="10" t="s">
        <v>13</v>
      </c>
      <c r="D20" s="10"/>
      <c r="E20" s="10"/>
      <c r="F20" s="10"/>
      <c r="G20" s="10" t="s">
        <v>11</v>
      </c>
      <c r="H20" s="10">
        <v>0</v>
      </c>
      <c r="I20" s="10"/>
    </row>
    <row r="21" s="3" customFormat="1" ht="16.5" outlineLevel="2" spans="1:9">
      <c r="A21" s="10" t="s">
        <v>34</v>
      </c>
      <c r="B21" s="11" t="s">
        <v>15</v>
      </c>
      <c r="C21" s="10" t="s">
        <v>13</v>
      </c>
      <c r="D21" s="10"/>
      <c r="E21" s="10"/>
      <c r="F21" s="10"/>
      <c r="G21" s="10" t="s">
        <v>11</v>
      </c>
      <c r="H21" s="10">
        <v>0</v>
      </c>
      <c r="I21" s="10"/>
    </row>
    <row r="22" s="2" customFormat="1" ht="16.5" outlineLevel="1" collapsed="1" spans="1:9">
      <c r="A22" s="8">
        <v>3.2</v>
      </c>
      <c r="B22" s="9" t="s">
        <v>23</v>
      </c>
      <c r="C22" s="8" t="s">
        <v>24</v>
      </c>
      <c r="D22" s="8"/>
      <c r="E22" s="8"/>
      <c r="F22" s="8"/>
      <c r="G22" s="8" t="s">
        <v>11</v>
      </c>
      <c r="H22" s="14">
        <v>0</v>
      </c>
      <c r="I22" s="8"/>
    </row>
    <row r="23" s="2" customFormat="1" ht="16.5" outlineLevel="1" spans="1:9">
      <c r="A23" s="8">
        <v>3.3</v>
      </c>
      <c r="B23" s="9" t="s">
        <v>25</v>
      </c>
      <c r="C23" s="8" t="s">
        <v>26</v>
      </c>
      <c r="D23" s="8"/>
      <c r="E23" s="8"/>
      <c r="F23" s="8"/>
      <c r="G23" s="8" t="s">
        <v>11</v>
      </c>
      <c r="H23" s="8">
        <f>H24*0.5+H28*0.3+H29*0.2</f>
        <v>0</v>
      </c>
      <c r="I23" s="8"/>
    </row>
    <row r="24" s="1" customFormat="1" ht="15" spans="1:9">
      <c r="A24" s="5">
        <v>4</v>
      </c>
      <c r="B24" s="5" t="s">
        <v>35</v>
      </c>
      <c r="C24" s="5" t="s">
        <v>10</v>
      </c>
      <c r="D24" s="6">
        <v>46113</v>
      </c>
      <c r="E24" s="6">
        <v>46142</v>
      </c>
      <c r="F24" s="5"/>
      <c r="G24" s="5" t="s">
        <v>11</v>
      </c>
      <c r="H24" s="7">
        <v>0</v>
      </c>
      <c r="I24" s="5"/>
    </row>
    <row r="25" s="2" customFormat="1" ht="16.5" outlineLevel="1" spans="1:9">
      <c r="A25" s="8">
        <v>4.1</v>
      </c>
      <c r="B25" s="9" t="s">
        <v>12</v>
      </c>
      <c r="C25" s="8" t="s">
        <v>13</v>
      </c>
      <c r="D25" s="8"/>
      <c r="E25" s="8"/>
      <c r="F25" s="8"/>
      <c r="G25" s="8" t="s">
        <v>11</v>
      </c>
      <c r="H25" s="8">
        <v>0</v>
      </c>
      <c r="I25" s="8"/>
    </row>
    <row r="26" s="1" customFormat="1" ht="16.5" outlineLevel="2" spans="1:9">
      <c r="A26" s="10" t="s">
        <v>36</v>
      </c>
      <c r="B26" s="11" t="s">
        <v>17</v>
      </c>
      <c r="C26" s="10" t="s">
        <v>13</v>
      </c>
      <c r="D26" s="10"/>
      <c r="E26" s="10"/>
      <c r="F26" s="10"/>
      <c r="G26" s="10" t="s">
        <v>11</v>
      </c>
      <c r="H26" s="10">
        <v>0</v>
      </c>
      <c r="I26" s="10"/>
    </row>
    <row r="27" s="2" customFormat="1" ht="16.5" outlineLevel="2" collapsed="1" spans="1:9">
      <c r="A27" s="10" t="s">
        <v>37</v>
      </c>
      <c r="B27" s="11" t="s">
        <v>19</v>
      </c>
      <c r="C27" s="10" t="s">
        <v>13</v>
      </c>
      <c r="D27" s="10"/>
      <c r="E27" s="10"/>
      <c r="F27" s="10"/>
      <c r="G27" s="10" t="s">
        <v>11</v>
      </c>
      <c r="H27" s="10">
        <v>0</v>
      </c>
      <c r="I27" s="10"/>
    </row>
    <row r="28" s="3" customFormat="1" ht="16.5" outlineLevel="2" spans="1:9">
      <c r="A28" s="10" t="s">
        <v>38</v>
      </c>
      <c r="B28" s="11" t="s">
        <v>15</v>
      </c>
      <c r="C28" s="10" t="s">
        <v>13</v>
      </c>
      <c r="D28" s="10"/>
      <c r="E28" s="10"/>
      <c r="F28" s="10"/>
      <c r="G28" s="10" t="s">
        <v>11</v>
      </c>
      <c r="H28" s="10">
        <v>0</v>
      </c>
      <c r="I28" s="10"/>
    </row>
    <row r="29" s="2" customFormat="1" ht="16.5" outlineLevel="1" collapsed="1" spans="1:9">
      <c r="A29" s="8">
        <v>4.2</v>
      </c>
      <c r="B29" s="9" t="s">
        <v>23</v>
      </c>
      <c r="C29" s="8" t="s">
        <v>24</v>
      </c>
      <c r="D29" s="8"/>
      <c r="E29" s="8"/>
      <c r="F29" s="8"/>
      <c r="G29" s="8" t="s">
        <v>11</v>
      </c>
      <c r="H29" s="14">
        <v>0</v>
      </c>
      <c r="I29" s="8"/>
    </row>
    <row r="30" s="2" customFormat="1" ht="16.5" outlineLevel="1" spans="1:9">
      <c r="A30" s="8">
        <v>4.3</v>
      </c>
      <c r="B30" s="9" t="s">
        <v>25</v>
      </c>
      <c r="C30" s="8" t="s">
        <v>26</v>
      </c>
      <c r="D30" s="8"/>
      <c r="E30" s="8"/>
      <c r="F30" s="8"/>
      <c r="G30" s="8" t="s">
        <v>11</v>
      </c>
      <c r="H30" s="8">
        <f>H31*0.5+H35*0.3+H36*0.2</f>
        <v>0</v>
      </c>
      <c r="I30" s="8"/>
    </row>
    <row r="31" s="1" customFormat="1" ht="15" spans="1:9">
      <c r="A31" s="5">
        <v>5</v>
      </c>
      <c r="B31" s="5" t="s">
        <v>39</v>
      </c>
      <c r="C31" s="5" t="s">
        <v>10</v>
      </c>
      <c r="D31" s="6">
        <v>46113</v>
      </c>
      <c r="E31" s="6">
        <v>46142</v>
      </c>
      <c r="F31" s="5"/>
      <c r="G31" s="5" t="s">
        <v>11</v>
      </c>
      <c r="H31" s="7">
        <v>0</v>
      </c>
      <c r="I31" s="5"/>
    </row>
    <row r="32" s="2" customFormat="1" ht="16.5" outlineLevel="1" spans="1:9">
      <c r="A32" s="8">
        <v>5.1</v>
      </c>
      <c r="B32" s="9" t="s">
        <v>12</v>
      </c>
      <c r="C32" s="8" t="s">
        <v>13</v>
      </c>
      <c r="D32" s="8"/>
      <c r="E32" s="8"/>
      <c r="F32" s="8"/>
      <c r="G32" s="8" t="s">
        <v>11</v>
      </c>
      <c r="H32" s="8">
        <v>0</v>
      </c>
      <c r="I32" s="8"/>
    </row>
    <row r="33" s="1" customFormat="1" ht="16.5" outlineLevel="2" spans="1:9">
      <c r="A33" s="10" t="s">
        <v>40</v>
      </c>
      <c r="B33" s="11" t="s">
        <v>17</v>
      </c>
      <c r="C33" s="10" t="s">
        <v>13</v>
      </c>
      <c r="D33" s="10"/>
      <c r="E33" s="10"/>
      <c r="F33" s="10"/>
      <c r="G33" s="10" t="s">
        <v>11</v>
      </c>
      <c r="H33" s="10">
        <v>0</v>
      </c>
      <c r="I33" s="10"/>
    </row>
    <row r="34" s="2" customFormat="1" ht="16.5" outlineLevel="2" collapsed="1" spans="1:9">
      <c r="A34" s="10" t="s">
        <v>41</v>
      </c>
      <c r="B34" s="11" t="s">
        <v>19</v>
      </c>
      <c r="C34" s="10" t="s">
        <v>13</v>
      </c>
      <c r="D34" s="10"/>
      <c r="E34" s="10"/>
      <c r="F34" s="10"/>
      <c r="G34" s="10" t="s">
        <v>11</v>
      </c>
      <c r="H34" s="10">
        <v>0</v>
      </c>
      <c r="I34" s="10"/>
    </row>
    <row r="35" s="3" customFormat="1" ht="16.5" outlineLevel="2" spans="1:9">
      <c r="A35" s="10" t="s">
        <v>42</v>
      </c>
      <c r="B35" s="11" t="s">
        <v>15</v>
      </c>
      <c r="C35" s="10" t="s">
        <v>13</v>
      </c>
      <c r="D35" s="10"/>
      <c r="E35" s="10"/>
      <c r="F35" s="10"/>
      <c r="G35" s="10" t="s">
        <v>11</v>
      </c>
      <c r="H35" s="10">
        <v>0</v>
      </c>
      <c r="I35" s="10"/>
    </row>
    <row r="36" s="2" customFormat="1" ht="16.5" outlineLevel="1" collapsed="1" spans="1:9">
      <c r="A36" s="8">
        <v>5.2</v>
      </c>
      <c r="B36" s="9" t="s">
        <v>23</v>
      </c>
      <c r="C36" s="8" t="s">
        <v>24</v>
      </c>
      <c r="D36" s="8"/>
      <c r="E36" s="8"/>
      <c r="F36" s="8"/>
      <c r="G36" s="8" t="s">
        <v>11</v>
      </c>
      <c r="H36" s="14">
        <v>0</v>
      </c>
      <c r="I36" s="8"/>
    </row>
    <row r="37" s="2" customFormat="1" ht="16.5" outlineLevel="1" spans="1:9">
      <c r="A37" s="8">
        <v>5.3</v>
      </c>
      <c r="B37" s="9" t="s">
        <v>25</v>
      </c>
      <c r="C37" s="8" t="s">
        <v>26</v>
      </c>
      <c r="D37" s="8"/>
      <c r="E37" s="8"/>
      <c r="F37" s="8"/>
      <c r="G37" s="8" t="s">
        <v>11</v>
      </c>
      <c r="H37" s="8">
        <f>H38*0.5+H42*0.3+H43*0.2</f>
        <v>0</v>
      </c>
      <c r="I37" s="8"/>
    </row>
    <row r="38" s="1" customFormat="1" ht="15" spans="1:9">
      <c r="A38" s="5">
        <v>6</v>
      </c>
      <c r="B38" s="5" t="s">
        <v>43</v>
      </c>
      <c r="C38" s="5" t="s">
        <v>10</v>
      </c>
      <c r="D38" s="6">
        <v>46113</v>
      </c>
      <c r="E38" s="6">
        <v>46142</v>
      </c>
      <c r="F38" s="5"/>
      <c r="G38" s="5" t="s">
        <v>11</v>
      </c>
      <c r="H38" s="7">
        <v>0</v>
      </c>
      <c r="I38" s="5"/>
    </row>
    <row r="39" s="2" customFormat="1" ht="16.5" outlineLevel="1" spans="1:9">
      <c r="A39" s="8">
        <v>6.1</v>
      </c>
      <c r="B39" s="9" t="s">
        <v>12</v>
      </c>
      <c r="C39" s="8" t="s">
        <v>13</v>
      </c>
      <c r="D39" s="8"/>
      <c r="E39" s="8"/>
      <c r="F39" s="8"/>
      <c r="G39" s="8" t="s">
        <v>11</v>
      </c>
      <c r="H39" s="8">
        <v>0</v>
      </c>
      <c r="I39" s="8"/>
    </row>
    <row r="40" s="1" customFormat="1" ht="16.5" outlineLevel="2" spans="1:9">
      <c r="A40" s="10" t="s">
        <v>44</v>
      </c>
      <c r="B40" s="11" t="s">
        <v>17</v>
      </c>
      <c r="C40" s="10" t="s">
        <v>13</v>
      </c>
      <c r="D40" s="10"/>
      <c r="E40" s="10"/>
      <c r="F40" s="10"/>
      <c r="G40" s="10" t="s">
        <v>11</v>
      </c>
      <c r="H40" s="10">
        <v>0</v>
      </c>
      <c r="I40" s="10"/>
    </row>
    <row r="41" s="2" customFormat="1" ht="16.5" outlineLevel="2" collapsed="1" spans="1:9">
      <c r="A41" s="10" t="s">
        <v>45</v>
      </c>
      <c r="B41" s="11" t="s">
        <v>19</v>
      </c>
      <c r="C41" s="10" t="s">
        <v>13</v>
      </c>
      <c r="D41" s="10"/>
      <c r="E41" s="10"/>
      <c r="F41" s="10"/>
      <c r="G41" s="10" t="s">
        <v>11</v>
      </c>
      <c r="H41" s="10">
        <v>0</v>
      </c>
      <c r="I41" s="10"/>
    </row>
    <row r="42" s="3" customFormat="1" ht="16.5" outlineLevel="2" spans="1:9">
      <c r="A42" s="10" t="s">
        <v>46</v>
      </c>
      <c r="B42" s="11" t="s">
        <v>15</v>
      </c>
      <c r="C42" s="10" t="s">
        <v>13</v>
      </c>
      <c r="D42" s="10"/>
      <c r="E42" s="10"/>
      <c r="F42" s="10"/>
      <c r="G42" s="10" t="s">
        <v>11</v>
      </c>
      <c r="H42" s="10">
        <v>0</v>
      </c>
      <c r="I42" s="10"/>
    </row>
    <row r="43" s="2" customFormat="1" ht="16.5" outlineLevel="1" collapsed="1" spans="1:9">
      <c r="A43" s="8">
        <v>6.2</v>
      </c>
      <c r="B43" s="9" t="s">
        <v>23</v>
      </c>
      <c r="C43" s="8" t="s">
        <v>24</v>
      </c>
      <c r="D43" s="8"/>
      <c r="E43" s="8"/>
      <c r="F43" s="8"/>
      <c r="G43" s="8" t="s">
        <v>11</v>
      </c>
      <c r="H43" s="14">
        <v>0</v>
      </c>
      <c r="I43" s="8"/>
    </row>
    <row r="44" s="2" customFormat="1" ht="16.5" outlineLevel="1" spans="1:9">
      <c r="A44" s="8">
        <v>6.3</v>
      </c>
      <c r="B44" s="9" t="s">
        <v>25</v>
      </c>
      <c r="C44" s="8" t="s">
        <v>26</v>
      </c>
      <c r="D44" s="8"/>
      <c r="E44" s="8"/>
      <c r="F44" s="8"/>
      <c r="G44" s="8" t="s">
        <v>11</v>
      </c>
      <c r="H44" s="8">
        <f>H45*0.5+H49*0.3+H50*0.2</f>
        <v>0</v>
      </c>
      <c r="I44" s="8"/>
    </row>
    <row r="45" s="1" customFormat="1" ht="15" spans="1:9">
      <c r="A45" s="5">
        <v>7</v>
      </c>
      <c r="B45" s="5" t="s">
        <v>47</v>
      </c>
      <c r="C45" s="5" t="s">
        <v>10</v>
      </c>
      <c r="D45" s="6">
        <v>46113</v>
      </c>
      <c r="E45" s="6">
        <v>46142</v>
      </c>
      <c r="F45" s="5"/>
      <c r="G45" s="5" t="s">
        <v>11</v>
      </c>
      <c r="H45" s="7">
        <v>0</v>
      </c>
      <c r="I45" s="5"/>
    </row>
    <row r="46" s="2" customFormat="1" ht="16.5" outlineLevel="1" spans="1:9">
      <c r="A46" s="8">
        <v>7.1</v>
      </c>
      <c r="B46" s="9" t="s">
        <v>12</v>
      </c>
      <c r="C46" s="8" t="s">
        <v>13</v>
      </c>
      <c r="D46" s="8"/>
      <c r="E46" s="8"/>
      <c r="F46" s="8"/>
      <c r="G46" s="8" t="s">
        <v>11</v>
      </c>
      <c r="H46" s="8">
        <v>0</v>
      </c>
      <c r="I46" s="8"/>
    </row>
    <row r="47" s="1" customFormat="1" ht="16.5" outlineLevel="2" spans="1:9">
      <c r="A47" s="10" t="s">
        <v>48</v>
      </c>
      <c r="B47" s="11" t="s">
        <v>17</v>
      </c>
      <c r="C47" s="10" t="s">
        <v>13</v>
      </c>
      <c r="D47" s="10"/>
      <c r="E47" s="10"/>
      <c r="F47" s="10"/>
      <c r="G47" s="10" t="s">
        <v>11</v>
      </c>
      <c r="H47" s="10">
        <v>0</v>
      </c>
      <c r="I47" s="10"/>
    </row>
    <row r="48" s="2" customFormat="1" ht="16.5" outlineLevel="2" collapsed="1" spans="1:9">
      <c r="A48" s="10" t="s">
        <v>49</v>
      </c>
      <c r="B48" s="11" t="s">
        <v>19</v>
      </c>
      <c r="C48" s="10" t="s">
        <v>13</v>
      </c>
      <c r="D48" s="10"/>
      <c r="E48" s="10"/>
      <c r="F48" s="10"/>
      <c r="G48" s="10" t="s">
        <v>11</v>
      </c>
      <c r="H48" s="10">
        <v>0</v>
      </c>
      <c r="I48" s="10"/>
    </row>
    <row r="49" s="3" customFormat="1" ht="16.5" outlineLevel="2" spans="1:9">
      <c r="A49" s="10" t="s">
        <v>50</v>
      </c>
      <c r="B49" s="11" t="s">
        <v>15</v>
      </c>
      <c r="C49" s="10" t="s">
        <v>13</v>
      </c>
      <c r="D49" s="10"/>
      <c r="E49" s="10"/>
      <c r="F49" s="10"/>
      <c r="G49" s="10" t="s">
        <v>11</v>
      </c>
      <c r="H49" s="10">
        <v>0</v>
      </c>
      <c r="I49" s="10"/>
    </row>
    <row r="50" s="2" customFormat="1" ht="16.5" outlineLevel="1" collapsed="1" spans="1:9">
      <c r="A50" s="8">
        <v>7.2</v>
      </c>
      <c r="B50" s="9" t="s">
        <v>23</v>
      </c>
      <c r="C50" s="8" t="s">
        <v>24</v>
      </c>
      <c r="D50" s="8"/>
      <c r="E50" s="8"/>
      <c r="F50" s="8"/>
      <c r="G50" s="8" t="s">
        <v>11</v>
      </c>
      <c r="H50" s="14">
        <v>0</v>
      </c>
      <c r="I50" s="8"/>
    </row>
    <row r="51" s="2" customFormat="1" ht="16.5" outlineLevel="1" spans="1:9">
      <c r="A51" s="8">
        <v>7.3</v>
      </c>
      <c r="B51" s="9" t="s">
        <v>25</v>
      </c>
      <c r="C51" s="8" t="s">
        <v>26</v>
      </c>
      <c r="D51" s="8"/>
      <c r="E51" s="8"/>
      <c r="F51" s="8"/>
      <c r="G51" s="8" t="s">
        <v>11</v>
      </c>
      <c r="H51" s="8">
        <f>H52*0.5+H56*0.3+H57*0.2</f>
        <v>0</v>
      </c>
      <c r="I51" s="8"/>
    </row>
    <row r="52" s="1" customFormat="1" ht="15" spans="1:9">
      <c r="A52" s="5">
        <v>8</v>
      </c>
      <c r="B52" s="5" t="s">
        <v>51</v>
      </c>
      <c r="C52" s="5" t="s">
        <v>10</v>
      </c>
      <c r="D52" s="6">
        <v>46113</v>
      </c>
      <c r="E52" s="6">
        <v>46142</v>
      </c>
      <c r="F52" s="5"/>
      <c r="G52" s="5" t="s">
        <v>11</v>
      </c>
      <c r="H52" s="7">
        <v>0</v>
      </c>
      <c r="I52" s="5"/>
    </row>
    <row r="53" s="2" customFormat="1" ht="16.5" outlineLevel="1" spans="1:9">
      <c r="A53" s="8">
        <v>8.1</v>
      </c>
      <c r="B53" s="9" t="s">
        <v>12</v>
      </c>
      <c r="C53" s="8" t="s">
        <v>13</v>
      </c>
      <c r="D53" s="8"/>
      <c r="E53" s="8"/>
      <c r="F53" s="8"/>
      <c r="G53" s="8" t="s">
        <v>11</v>
      </c>
      <c r="H53" s="8">
        <v>0</v>
      </c>
      <c r="I53" s="8"/>
    </row>
    <row r="54" s="1" customFormat="1" ht="16.5" outlineLevel="2" spans="1:9">
      <c r="A54" s="10" t="s">
        <v>52</v>
      </c>
      <c r="B54" s="11" t="s">
        <v>17</v>
      </c>
      <c r="C54" s="10" t="s">
        <v>13</v>
      </c>
      <c r="D54" s="10"/>
      <c r="E54" s="10"/>
      <c r="F54" s="10"/>
      <c r="G54" s="10" t="s">
        <v>11</v>
      </c>
      <c r="H54" s="10">
        <v>0</v>
      </c>
      <c r="I54" s="10"/>
    </row>
    <row r="55" s="2" customFormat="1" ht="16.5" outlineLevel="2" collapsed="1" spans="1:9">
      <c r="A55" s="10" t="s">
        <v>53</v>
      </c>
      <c r="B55" s="11" t="s">
        <v>19</v>
      </c>
      <c r="C55" s="10" t="s">
        <v>13</v>
      </c>
      <c r="D55" s="10"/>
      <c r="E55" s="10"/>
      <c r="F55" s="10"/>
      <c r="G55" s="10" t="s">
        <v>11</v>
      </c>
      <c r="H55" s="10">
        <v>0</v>
      </c>
      <c r="I55" s="10"/>
    </row>
    <row r="56" s="3" customFormat="1" ht="16.5" outlineLevel="2" spans="1:9">
      <c r="A56" s="10" t="s">
        <v>54</v>
      </c>
      <c r="B56" s="11" t="s">
        <v>15</v>
      </c>
      <c r="C56" s="10" t="s">
        <v>13</v>
      </c>
      <c r="D56" s="10"/>
      <c r="E56" s="10"/>
      <c r="F56" s="10"/>
      <c r="G56" s="10" t="s">
        <v>11</v>
      </c>
      <c r="H56" s="10">
        <v>0</v>
      </c>
      <c r="I56" s="10"/>
    </row>
    <row r="57" s="2" customFormat="1" ht="16.5" outlineLevel="1" collapsed="1" spans="1:9">
      <c r="A57" s="8">
        <v>8.2</v>
      </c>
      <c r="B57" s="9" t="s">
        <v>23</v>
      </c>
      <c r="C57" s="8" t="s">
        <v>24</v>
      </c>
      <c r="D57" s="8"/>
      <c r="E57" s="8"/>
      <c r="F57" s="8"/>
      <c r="G57" s="8" t="s">
        <v>11</v>
      </c>
      <c r="H57" s="14">
        <v>0</v>
      </c>
      <c r="I57" s="8"/>
    </row>
    <row r="58" s="2" customFormat="1" ht="16.5" outlineLevel="1" spans="1:9">
      <c r="A58" s="8">
        <v>8.3</v>
      </c>
      <c r="B58" s="9" t="s">
        <v>25</v>
      </c>
      <c r="C58" s="8" t="s">
        <v>26</v>
      </c>
      <c r="D58" s="8"/>
      <c r="E58" s="8"/>
      <c r="F58" s="8"/>
      <c r="G58" s="8" t="s">
        <v>11</v>
      </c>
      <c r="H58" s="8">
        <f>H59*0.5+H63*0.3+H64*0.2</f>
        <v>0</v>
      </c>
      <c r="I58" s="8"/>
    </row>
    <row r="59" s="1" customFormat="1" ht="15" spans="1:9">
      <c r="A59" s="5">
        <v>9</v>
      </c>
      <c r="B59" s="5" t="s">
        <v>55</v>
      </c>
      <c r="C59" s="5" t="s">
        <v>10</v>
      </c>
      <c r="D59" s="6">
        <v>46113</v>
      </c>
      <c r="E59" s="6">
        <v>46142</v>
      </c>
      <c r="F59" s="5"/>
      <c r="G59" s="5" t="s">
        <v>11</v>
      </c>
      <c r="H59" s="7">
        <v>0</v>
      </c>
      <c r="I59" s="5"/>
    </row>
    <row r="60" s="2" customFormat="1" ht="16.5" outlineLevel="1" spans="1:9">
      <c r="A60" s="8">
        <v>9.1</v>
      </c>
      <c r="B60" s="9" t="s">
        <v>12</v>
      </c>
      <c r="C60" s="8" t="s">
        <v>13</v>
      </c>
      <c r="D60" s="8"/>
      <c r="E60" s="8"/>
      <c r="F60" s="8"/>
      <c r="G60" s="8" t="s">
        <v>11</v>
      </c>
      <c r="H60" s="8">
        <v>0</v>
      </c>
      <c r="I60" s="8"/>
    </row>
    <row r="61" s="1" customFormat="1" ht="16.5" outlineLevel="2" spans="1:9">
      <c r="A61" s="10" t="s">
        <v>56</v>
      </c>
      <c r="B61" s="11" t="s">
        <v>17</v>
      </c>
      <c r="C61" s="10" t="s">
        <v>13</v>
      </c>
      <c r="D61" s="10"/>
      <c r="E61" s="10"/>
      <c r="F61" s="10"/>
      <c r="G61" s="10" t="s">
        <v>11</v>
      </c>
      <c r="H61" s="10">
        <v>0</v>
      </c>
      <c r="I61" s="10"/>
    </row>
    <row r="62" s="2" customFormat="1" ht="16.5" outlineLevel="2" collapsed="1" spans="1:9">
      <c r="A62" s="10" t="s">
        <v>57</v>
      </c>
      <c r="B62" s="11" t="s">
        <v>19</v>
      </c>
      <c r="C62" s="10" t="s">
        <v>13</v>
      </c>
      <c r="D62" s="10"/>
      <c r="E62" s="10"/>
      <c r="F62" s="10"/>
      <c r="G62" s="10" t="s">
        <v>11</v>
      </c>
      <c r="H62" s="10">
        <v>0</v>
      </c>
      <c r="I62" s="10"/>
    </row>
    <row r="63" s="3" customFormat="1" ht="16.5" outlineLevel="2" spans="1:9">
      <c r="A63" s="10" t="s">
        <v>58</v>
      </c>
      <c r="B63" s="11" t="s">
        <v>15</v>
      </c>
      <c r="C63" s="10" t="s">
        <v>13</v>
      </c>
      <c r="D63" s="10"/>
      <c r="E63" s="10"/>
      <c r="F63" s="10"/>
      <c r="G63" s="10" t="s">
        <v>11</v>
      </c>
      <c r="H63" s="10">
        <v>0</v>
      </c>
      <c r="I63" s="10"/>
    </row>
    <row r="64" s="2" customFormat="1" ht="16.5" outlineLevel="1" collapsed="1" spans="1:9">
      <c r="A64" s="8">
        <v>9.2</v>
      </c>
      <c r="B64" s="9" t="s">
        <v>23</v>
      </c>
      <c r="C64" s="8" t="s">
        <v>24</v>
      </c>
      <c r="D64" s="8"/>
      <c r="E64" s="8"/>
      <c r="F64" s="8"/>
      <c r="G64" s="8" t="s">
        <v>11</v>
      </c>
      <c r="H64" s="14">
        <v>0</v>
      </c>
      <c r="I64" s="8"/>
    </row>
    <row r="65" s="2" customFormat="1" ht="16.5" outlineLevel="1" spans="1:9">
      <c r="A65" s="8">
        <v>9.3</v>
      </c>
      <c r="B65" s="9" t="s">
        <v>25</v>
      </c>
      <c r="C65" s="8" t="s">
        <v>26</v>
      </c>
      <c r="D65" s="8"/>
      <c r="E65" s="8"/>
      <c r="F65" s="8"/>
      <c r="G65" s="8" t="s">
        <v>11</v>
      </c>
      <c r="H65" s="8">
        <f>H66*0.5+H70*0.3+H71*0.2</f>
        <v>0</v>
      </c>
      <c r="I65" s="8"/>
    </row>
    <row r="66" s="1" customFormat="1" ht="15" spans="1:9">
      <c r="A66" s="5">
        <v>10</v>
      </c>
      <c r="B66" s="5" t="s">
        <v>59</v>
      </c>
      <c r="C66" s="5" t="s">
        <v>10</v>
      </c>
      <c r="D66" s="6">
        <v>46113</v>
      </c>
      <c r="E66" s="6">
        <v>46142</v>
      </c>
      <c r="F66" s="5"/>
      <c r="G66" s="5" t="s">
        <v>11</v>
      </c>
      <c r="H66" s="7">
        <v>0</v>
      </c>
      <c r="I66" s="5"/>
    </row>
    <row r="67" s="2" customFormat="1" ht="16.5" outlineLevel="1" spans="1:9">
      <c r="A67" s="8">
        <v>10.1</v>
      </c>
      <c r="B67" s="9" t="s">
        <v>12</v>
      </c>
      <c r="C67" s="8" t="s">
        <v>13</v>
      </c>
      <c r="D67" s="8"/>
      <c r="E67" s="8"/>
      <c r="F67" s="8"/>
      <c r="G67" s="8" t="s">
        <v>11</v>
      </c>
      <c r="H67" s="8">
        <v>0</v>
      </c>
      <c r="I67" s="8"/>
    </row>
    <row r="68" s="1" customFormat="1" ht="16.5" outlineLevel="2" spans="1:9">
      <c r="A68" s="10" t="s">
        <v>60</v>
      </c>
      <c r="B68" s="11" t="s">
        <v>17</v>
      </c>
      <c r="C68" s="10" t="s">
        <v>13</v>
      </c>
      <c r="D68" s="10"/>
      <c r="E68" s="10"/>
      <c r="F68" s="10"/>
      <c r="G68" s="10" t="s">
        <v>11</v>
      </c>
      <c r="H68" s="10">
        <v>0</v>
      </c>
      <c r="I68" s="10"/>
    </row>
    <row r="69" s="2" customFormat="1" ht="16.5" outlineLevel="2" collapsed="1" spans="1:9">
      <c r="A69" s="10" t="s">
        <v>61</v>
      </c>
      <c r="B69" s="11" t="s">
        <v>19</v>
      </c>
      <c r="C69" s="10" t="s">
        <v>13</v>
      </c>
      <c r="D69" s="10"/>
      <c r="E69" s="10"/>
      <c r="F69" s="10"/>
      <c r="G69" s="10" t="s">
        <v>11</v>
      </c>
      <c r="H69" s="10">
        <v>0</v>
      </c>
      <c r="I69" s="10"/>
    </row>
    <row r="70" s="3" customFormat="1" ht="16.5" outlineLevel="2" spans="1:9">
      <c r="A70" s="10" t="s">
        <v>62</v>
      </c>
      <c r="B70" s="11" t="s">
        <v>15</v>
      </c>
      <c r="C70" s="10" t="s">
        <v>13</v>
      </c>
      <c r="D70" s="10"/>
      <c r="E70" s="10"/>
      <c r="F70" s="10"/>
      <c r="G70" s="10" t="s">
        <v>11</v>
      </c>
      <c r="H70" s="10">
        <v>0</v>
      </c>
      <c r="I70" s="10"/>
    </row>
    <row r="71" s="2" customFormat="1" ht="16.5" outlineLevel="1" collapsed="1" spans="1:9">
      <c r="A71" s="8">
        <v>10.2</v>
      </c>
      <c r="B71" s="9" t="s">
        <v>23</v>
      </c>
      <c r="C71" s="8" t="s">
        <v>24</v>
      </c>
      <c r="D71" s="8"/>
      <c r="E71" s="8"/>
      <c r="F71" s="8"/>
      <c r="G71" s="8" t="s">
        <v>11</v>
      </c>
      <c r="H71" s="14">
        <v>0</v>
      </c>
      <c r="I71" s="8"/>
    </row>
    <row r="72" s="2" customFormat="1" ht="16.5" outlineLevel="1" spans="1:9">
      <c r="A72" s="8">
        <v>10.3</v>
      </c>
      <c r="B72" s="9" t="s">
        <v>25</v>
      </c>
      <c r="C72" s="8" t="s">
        <v>26</v>
      </c>
      <c r="D72" s="8"/>
      <c r="E72" s="8"/>
      <c r="F72" s="8"/>
      <c r="G72" s="8" t="s">
        <v>11</v>
      </c>
      <c r="H72" s="8">
        <f>H73*0.5+H77*0.3+H78*0.2</f>
        <v>0</v>
      </c>
      <c r="I72" s="8"/>
    </row>
    <row r="73" s="1" customFormat="1" ht="15" spans="1:9">
      <c r="A73" s="5">
        <v>11</v>
      </c>
      <c r="B73" s="5" t="s">
        <v>63</v>
      </c>
      <c r="C73" s="5" t="s">
        <v>10</v>
      </c>
      <c r="D73" s="6">
        <v>46113</v>
      </c>
      <c r="E73" s="6">
        <v>46142</v>
      </c>
      <c r="F73" s="5"/>
      <c r="G73" s="5" t="s">
        <v>11</v>
      </c>
      <c r="H73" s="7">
        <v>0</v>
      </c>
      <c r="I73" s="5"/>
    </row>
    <row r="74" s="2" customFormat="1" ht="16.5" outlineLevel="1" spans="1:9">
      <c r="A74" s="8">
        <v>11.1</v>
      </c>
      <c r="B74" s="9" t="s">
        <v>12</v>
      </c>
      <c r="C74" s="8" t="s">
        <v>13</v>
      </c>
      <c r="D74" s="8"/>
      <c r="E74" s="8"/>
      <c r="F74" s="8"/>
      <c r="G74" s="8" t="s">
        <v>11</v>
      </c>
      <c r="H74" s="8">
        <v>0</v>
      </c>
      <c r="I74" s="8"/>
    </row>
    <row r="75" s="1" customFormat="1" ht="16.5" outlineLevel="2" spans="1:9">
      <c r="A75" s="10" t="s">
        <v>64</v>
      </c>
      <c r="B75" s="11" t="s">
        <v>17</v>
      </c>
      <c r="C75" s="10" t="s">
        <v>13</v>
      </c>
      <c r="D75" s="10"/>
      <c r="E75" s="10"/>
      <c r="F75" s="10"/>
      <c r="G75" s="10" t="s">
        <v>11</v>
      </c>
      <c r="H75" s="10">
        <v>0</v>
      </c>
      <c r="I75" s="10"/>
    </row>
    <row r="76" s="2" customFormat="1" ht="16.5" outlineLevel="2" collapsed="1" spans="1:9">
      <c r="A76" s="10" t="s">
        <v>65</v>
      </c>
      <c r="B76" s="11" t="s">
        <v>19</v>
      </c>
      <c r="C76" s="10" t="s">
        <v>13</v>
      </c>
      <c r="D76" s="10"/>
      <c r="E76" s="10"/>
      <c r="F76" s="10"/>
      <c r="G76" s="10" t="s">
        <v>11</v>
      </c>
      <c r="H76" s="10">
        <v>0</v>
      </c>
      <c r="I76" s="10"/>
    </row>
    <row r="77" s="3" customFormat="1" ht="16.5" outlineLevel="2" spans="1:9">
      <c r="A77" s="10" t="s">
        <v>66</v>
      </c>
      <c r="B77" s="11" t="s">
        <v>15</v>
      </c>
      <c r="C77" s="10" t="s">
        <v>13</v>
      </c>
      <c r="D77" s="10"/>
      <c r="E77" s="10"/>
      <c r="F77" s="10"/>
      <c r="G77" s="10" t="s">
        <v>11</v>
      </c>
      <c r="H77" s="10">
        <v>0</v>
      </c>
      <c r="I77" s="10"/>
    </row>
    <row r="78" s="2" customFormat="1" ht="16.5" outlineLevel="1" collapsed="1" spans="1:9">
      <c r="A78" s="8">
        <v>11.2</v>
      </c>
      <c r="B78" s="9" t="s">
        <v>23</v>
      </c>
      <c r="C78" s="8" t="s">
        <v>24</v>
      </c>
      <c r="D78" s="8"/>
      <c r="E78" s="8"/>
      <c r="F78" s="8"/>
      <c r="G78" s="8" t="s">
        <v>11</v>
      </c>
      <c r="H78" s="14">
        <v>0</v>
      </c>
      <c r="I78" s="8"/>
    </row>
    <row r="79" s="2" customFormat="1" ht="16.5" outlineLevel="1" spans="1:9">
      <c r="A79" s="8">
        <v>11.3</v>
      </c>
      <c r="B79" s="9" t="s">
        <v>25</v>
      </c>
      <c r="C79" s="8" t="s">
        <v>26</v>
      </c>
      <c r="D79" s="8"/>
      <c r="E79" s="8"/>
      <c r="F79" s="8"/>
      <c r="G79" s="8" t="s">
        <v>11</v>
      </c>
      <c r="H79" s="8">
        <f>H80*0.5+H84*0.3+H85*0.2</f>
        <v>0</v>
      </c>
      <c r="I79" s="8"/>
    </row>
    <row r="80" s="1" customFormat="1" ht="15" spans="1:9">
      <c r="A80" s="5">
        <v>12</v>
      </c>
      <c r="B80" s="5" t="s">
        <v>67</v>
      </c>
      <c r="C80" s="5" t="s">
        <v>10</v>
      </c>
      <c r="D80" s="6">
        <v>46113</v>
      </c>
      <c r="E80" s="6">
        <v>46142</v>
      </c>
      <c r="F80" s="5"/>
      <c r="G80" s="5" t="s">
        <v>11</v>
      </c>
      <c r="H80" s="7">
        <v>0</v>
      </c>
      <c r="I80" s="5"/>
    </row>
    <row r="81" s="2" customFormat="1" ht="16.5" outlineLevel="1" spans="1:9">
      <c r="A81" s="8">
        <v>12.1</v>
      </c>
      <c r="B81" s="9" t="s">
        <v>12</v>
      </c>
      <c r="C81" s="8" t="s">
        <v>13</v>
      </c>
      <c r="D81" s="8"/>
      <c r="E81" s="8"/>
      <c r="F81" s="8"/>
      <c r="G81" s="8" t="s">
        <v>11</v>
      </c>
      <c r="H81" s="8">
        <v>0</v>
      </c>
      <c r="I81" s="8"/>
    </row>
    <row r="82" s="1" customFormat="1" ht="16.5" outlineLevel="2" spans="1:9">
      <c r="A82" s="10" t="s">
        <v>68</v>
      </c>
      <c r="B82" s="11" t="s">
        <v>17</v>
      </c>
      <c r="C82" s="10" t="s">
        <v>13</v>
      </c>
      <c r="D82" s="10"/>
      <c r="E82" s="10"/>
      <c r="F82" s="10"/>
      <c r="G82" s="10" t="s">
        <v>11</v>
      </c>
      <c r="H82" s="10">
        <v>0</v>
      </c>
      <c r="I82" s="10"/>
    </row>
    <row r="83" s="2" customFormat="1" ht="16.5" outlineLevel="2" collapsed="1" spans="1:9">
      <c r="A83" s="10" t="s">
        <v>69</v>
      </c>
      <c r="B83" s="11" t="s">
        <v>19</v>
      </c>
      <c r="C83" s="10" t="s">
        <v>13</v>
      </c>
      <c r="D83" s="10"/>
      <c r="E83" s="10"/>
      <c r="F83" s="10"/>
      <c r="G83" s="10" t="s">
        <v>11</v>
      </c>
      <c r="H83" s="10">
        <v>0</v>
      </c>
      <c r="I83" s="10"/>
    </row>
    <row r="84" s="3" customFormat="1" ht="16.5" outlineLevel="2" spans="1:9">
      <c r="A84" s="10" t="s">
        <v>70</v>
      </c>
      <c r="B84" s="11" t="s">
        <v>15</v>
      </c>
      <c r="C84" s="10" t="s">
        <v>13</v>
      </c>
      <c r="D84" s="10"/>
      <c r="E84" s="10"/>
      <c r="F84" s="10"/>
      <c r="G84" s="10" t="s">
        <v>11</v>
      </c>
      <c r="H84" s="10">
        <v>0</v>
      </c>
      <c r="I84" s="10"/>
    </row>
    <row r="85" s="2" customFormat="1" ht="16.5" outlineLevel="1" collapsed="1" spans="1:9">
      <c r="A85" s="8">
        <v>12.2</v>
      </c>
      <c r="B85" s="9" t="s">
        <v>23</v>
      </c>
      <c r="C85" s="8" t="s">
        <v>24</v>
      </c>
      <c r="D85" s="8"/>
      <c r="E85" s="8"/>
      <c r="F85" s="8"/>
      <c r="G85" s="8" t="s">
        <v>11</v>
      </c>
      <c r="H85" s="14">
        <v>0</v>
      </c>
      <c r="I85" s="8"/>
    </row>
    <row r="86" s="2" customFormat="1" ht="16.5" outlineLevel="1" spans="1:9">
      <c r="A86" s="8">
        <v>12.3</v>
      </c>
      <c r="B86" s="9" t="s">
        <v>25</v>
      </c>
      <c r="C86" s="8" t="s">
        <v>26</v>
      </c>
      <c r="D86" s="8"/>
      <c r="E86" s="8"/>
      <c r="F86" s="8"/>
      <c r="G86" s="8" t="s">
        <v>11</v>
      </c>
      <c r="H86" s="8">
        <f>H87*0.5+H91*0.3+H92*0.2</f>
        <v>0</v>
      </c>
      <c r="I86" s="8"/>
    </row>
    <row r="87" s="1" customFormat="1" ht="15" spans="1:9">
      <c r="A87" s="5">
        <v>13</v>
      </c>
      <c r="B87" s="5" t="s">
        <v>71</v>
      </c>
      <c r="C87" s="5" t="s">
        <v>10</v>
      </c>
      <c r="D87" s="6">
        <v>46113</v>
      </c>
      <c r="E87" s="6">
        <v>46142</v>
      </c>
      <c r="F87" s="5"/>
      <c r="G87" s="5" t="s">
        <v>11</v>
      </c>
      <c r="H87" s="7">
        <v>0</v>
      </c>
      <c r="I87" s="5"/>
    </row>
    <row r="88" s="2" customFormat="1" ht="16.5" outlineLevel="1" spans="1:9">
      <c r="A88" s="8">
        <v>13.1</v>
      </c>
      <c r="B88" s="9" t="s">
        <v>12</v>
      </c>
      <c r="C88" s="8" t="s">
        <v>13</v>
      </c>
      <c r="D88" s="8"/>
      <c r="E88" s="8"/>
      <c r="F88" s="8"/>
      <c r="G88" s="8" t="s">
        <v>11</v>
      </c>
      <c r="H88" s="8">
        <v>0</v>
      </c>
      <c r="I88" s="8"/>
    </row>
    <row r="89" s="1" customFormat="1" ht="16.5" outlineLevel="2" spans="1:9">
      <c r="A89" s="10" t="s">
        <v>72</v>
      </c>
      <c r="B89" s="11" t="s">
        <v>17</v>
      </c>
      <c r="C89" s="10" t="s">
        <v>13</v>
      </c>
      <c r="D89" s="10"/>
      <c r="E89" s="10"/>
      <c r="F89" s="10"/>
      <c r="G89" s="10" t="s">
        <v>11</v>
      </c>
      <c r="H89" s="10">
        <v>0</v>
      </c>
      <c r="I89" s="10"/>
    </row>
    <row r="90" s="2" customFormat="1" ht="16.5" outlineLevel="2" collapsed="1" spans="1:9">
      <c r="A90" s="10" t="s">
        <v>73</v>
      </c>
      <c r="B90" s="11" t="s">
        <v>19</v>
      </c>
      <c r="C90" s="10" t="s">
        <v>13</v>
      </c>
      <c r="D90" s="10"/>
      <c r="E90" s="10"/>
      <c r="F90" s="10"/>
      <c r="G90" s="10" t="s">
        <v>11</v>
      </c>
      <c r="H90" s="10">
        <v>0</v>
      </c>
      <c r="I90" s="10"/>
    </row>
    <row r="91" s="3" customFormat="1" ht="16.5" outlineLevel="2" spans="1:9">
      <c r="A91" s="10" t="s">
        <v>74</v>
      </c>
      <c r="B91" s="11" t="s">
        <v>15</v>
      </c>
      <c r="C91" s="10" t="s">
        <v>13</v>
      </c>
      <c r="D91" s="10"/>
      <c r="E91" s="10"/>
      <c r="F91" s="10"/>
      <c r="G91" s="10" t="s">
        <v>11</v>
      </c>
      <c r="H91" s="10">
        <v>0</v>
      </c>
      <c r="I91" s="10"/>
    </row>
    <row r="92" s="2" customFormat="1" ht="16.5" outlineLevel="1" collapsed="1" spans="1:9">
      <c r="A92" s="8">
        <v>13.2</v>
      </c>
      <c r="B92" s="9" t="s">
        <v>23</v>
      </c>
      <c r="C92" s="8" t="s">
        <v>24</v>
      </c>
      <c r="D92" s="8"/>
      <c r="E92" s="8"/>
      <c r="F92" s="8"/>
      <c r="G92" s="8" t="s">
        <v>11</v>
      </c>
      <c r="H92" s="14">
        <v>0</v>
      </c>
      <c r="I92" s="8"/>
    </row>
    <row r="93" s="2" customFormat="1" ht="16.5" outlineLevel="1" spans="1:9">
      <c r="A93" s="8">
        <v>13.3</v>
      </c>
      <c r="B93" s="9" t="s">
        <v>25</v>
      </c>
      <c r="C93" s="8" t="s">
        <v>26</v>
      </c>
      <c r="D93" s="8"/>
      <c r="E93" s="8"/>
      <c r="F93" s="8"/>
      <c r="G93" s="8" t="s">
        <v>11</v>
      </c>
      <c r="H93" s="8">
        <f>H94*0.5+H98*0.3+H99*0.2</f>
        <v>0</v>
      </c>
      <c r="I93" s="8"/>
    </row>
    <row r="94" s="1" customFormat="1" ht="15" spans="1:9">
      <c r="A94" s="5">
        <v>14</v>
      </c>
      <c r="B94" s="5" t="s">
        <v>75</v>
      </c>
      <c r="C94" s="5" t="s">
        <v>10</v>
      </c>
      <c r="D94" s="6">
        <v>46113</v>
      </c>
      <c r="E94" s="6">
        <v>46142</v>
      </c>
      <c r="F94" s="5"/>
      <c r="G94" s="5" t="s">
        <v>11</v>
      </c>
      <c r="H94" s="7">
        <v>0</v>
      </c>
      <c r="I94" s="5"/>
    </row>
    <row r="95" s="2" customFormat="1" ht="16.5" outlineLevel="1" spans="1:9">
      <c r="A95" s="8">
        <v>14.1</v>
      </c>
      <c r="B95" s="9" t="s">
        <v>12</v>
      </c>
      <c r="C95" s="8" t="s">
        <v>13</v>
      </c>
      <c r="D95" s="8"/>
      <c r="E95" s="8"/>
      <c r="F95" s="8"/>
      <c r="G95" s="8" t="s">
        <v>11</v>
      </c>
      <c r="H95" s="8">
        <v>0</v>
      </c>
      <c r="I95" s="8"/>
    </row>
    <row r="96" s="1" customFormat="1" ht="16.5" outlineLevel="2" spans="1:9">
      <c r="A96" s="10" t="s">
        <v>76</v>
      </c>
      <c r="B96" s="11" t="s">
        <v>17</v>
      </c>
      <c r="C96" s="10" t="s">
        <v>13</v>
      </c>
      <c r="D96" s="10"/>
      <c r="E96" s="10"/>
      <c r="F96" s="10"/>
      <c r="G96" s="10" t="s">
        <v>11</v>
      </c>
      <c r="H96" s="10">
        <v>0</v>
      </c>
      <c r="I96" s="10"/>
    </row>
    <row r="97" s="2" customFormat="1" ht="16.5" outlineLevel="2" collapsed="1" spans="1:9">
      <c r="A97" s="10" t="s">
        <v>77</v>
      </c>
      <c r="B97" s="11" t="s">
        <v>19</v>
      </c>
      <c r="C97" s="10" t="s">
        <v>13</v>
      </c>
      <c r="D97" s="10"/>
      <c r="E97" s="10"/>
      <c r="F97" s="10"/>
      <c r="G97" s="10" t="s">
        <v>11</v>
      </c>
      <c r="H97" s="10">
        <v>0</v>
      </c>
      <c r="I97" s="10"/>
    </row>
    <row r="98" s="3" customFormat="1" ht="16.5" outlineLevel="2" spans="1:9">
      <c r="A98" s="10" t="s">
        <v>78</v>
      </c>
      <c r="B98" s="11" t="s">
        <v>15</v>
      </c>
      <c r="C98" s="10" t="s">
        <v>13</v>
      </c>
      <c r="D98" s="10"/>
      <c r="E98" s="10"/>
      <c r="F98" s="10"/>
      <c r="G98" s="10" t="s">
        <v>11</v>
      </c>
      <c r="H98" s="10">
        <v>0</v>
      </c>
      <c r="I98" s="10"/>
    </row>
    <row r="99" s="2" customFormat="1" ht="16.5" outlineLevel="1" collapsed="1" spans="1:9">
      <c r="A99" s="8">
        <v>14.2</v>
      </c>
      <c r="B99" s="9" t="s">
        <v>23</v>
      </c>
      <c r="C99" s="8" t="s">
        <v>24</v>
      </c>
      <c r="D99" s="8"/>
      <c r="E99" s="8"/>
      <c r="F99" s="8"/>
      <c r="G99" s="8" t="s">
        <v>11</v>
      </c>
      <c r="H99" s="14">
        <v>0</v>
      </c>
      <c r="I99" s="8"/>
    </row>
    <row r="100" s="2" customFormat="1" ht="16.5" outlineLevel="1" spans="1:9">
      <c r="A100" s="8">
        <v>14.3</v>
      </c>
      <c r="B100" s="9" t="s">
        <v>25</v>
      </c>
      <c r="C100" s="8" t="s">
        <v>26</v>
      </c>
      <c r="D100" s="8"/>
      <c r="E100" s="8"/>
      <c r="F100" s="8"/>
      <c r="G100" s="8" t="s">
        <v>11</v>
      </c>
      <c r="H100" s="8">
        <f>H101*0.5+H105*0.3+H106*0.2</f>
        <v>0</v>
      </c>
      <c r="I100" s="8"/>
    </row>
    <row r="101" s="1" customFormat="1" ht="15" spans="1:9">
      <c r="A101" s="5">
        <v>15</v>
      </c>
      <c r="B101" s="5" t="s">
        <v>79</v>
      </c>
      <c r="C101" s="5" t="s">
        <v>10</v>
      </c>
      <c r="D101" s="6">
        <v>46113</v>
      </c>
      <c r="E101" s="6">
        <v>46142</v>
      </c>
      <c r="F101" s="5"/>
      <c r="G101" s="5" t="s">
        <v>11</v>
      </c>
      <c r="H101" s="7">
        <v>0</v>
      </c>
      <c r="I101" s="5"/>
    </row>
    <row r="102" s="2" customFormat="1" ht="16.5" outlineLevel="1" spans="1:9">
      <c r="A102" s="8">
        <v>15.1</v>
      </c>
      <c r="B102" s="9" t="s">
        <v>12</v>
      </c>
      <c r="C102" s="8" t="s">
        <v>13</v>
      </c>
      <c r="D102" s="8"/>
      <c r="E102" s="8"/>
      <c r="F102" s="8"/>
      <c r="G102" s="8" t="s">
        <v>11</v>
      </c>
      <c r="H102" s="8">
        <v>0</v>
      </c>
      <c r="I102" s="8"/>
    </row>
    <row r="103" s="1" customFormat="1" ht="16.5" outlineLevel="2" collapsed="1" spans="1:9">
      <c r="A103" s="10" t="s">
        <v>80</v>
      </c>
      <c r="B103" s="11" t="s">
        <v>17</v>
      </c>
      <c r="C103" s="10" t="s">
        <v>13</v>
      </c>
      <c r="D103" s="10"/>
      <c r="E103" s="10"/>
      <c r="F103" s="10"/>
      <c r="G103" s="10" t="s">
        <v>11</v>
      </c>
      <c r="H103" s="10">
        <v>0</v>
      </c>
      <c r="I103" s="10"/>
    </row>
    <row r="104" s="3" customFormat="1" ht="16.5" outlineLevel="2" spans="1:9">
      <c r="A104" s="10" t="s">
        <v>81</v>
      </c>
      <c r="B104" s="11" t="s">
        <v>19</v>
      </c>
      <c r="C104" s="10" t="s">
        <v>13</v>
      </c>
      <c r="D104" s="10"/>
      <c r="E104" s="10"/>
      <c r="F104" s="10"/>
      <c r="G104" s="10" t="s">
        <v>11</v>
      </c>
      <c r="H104" s="10">
        <v>0</v>
      </c>
      <c r="I104" s="10"/>
    </row>
    <row r="105" s="2" customFormat="1" ht="16.5" outlineLevel="2" collapsed="1" spans="1:9">
      <c r="A105" s="10" t="s">
        <v>82</v>
      </c>
      <c r="B105" s="11" t="s">
        <v>15</v>
      </c>
      <c r="C105" s="10" t="s">
        <v>13</v>
      </c>
      <c r="D105" s="10"/>
      <c r="E105" s="10"/>
      <c r="F105" s="10"/>
      <c r="G105" s="10" t="s">
        <v>11</v>
      </c>
      <c r="H105" s="10">
        <v>0</v>
      </c>
      <c r="I105" s="10"/>
    </row>
    <row r="106" s="2" customFormat="1" ht="16.5" outlineLevel="1" spans="1:9">
      <c r="A106" s="8">
        <v>15.2</v>
      </c>
      <c r="B106" s="9" t="s">
        <v>23</v>
      </c>
      <c r="C106" s="8" t="s">
        <v>24</v>
      </c>
      <c r="D106" s="8"/>
      <c r="E106" s="8"/>
      <c r="F106" s="8"/>
      <c r="G106" s="8" t="s">
        <v>11</v>
      </c>
      <c r="H106" s="14">
        <v>0</v>
      </c>
      <c r="I106" s="8"/>
    </row>
    <row r="107" s="2" customFormat="1" ht="16.5" outlineLevel="1" spans="1:9">
      <c r="A107" s="8">
        <v>15.3</v>
      </c>
      <c r="B107" s="9" t="s">
        <v>25</v>
      </c>
      <c r="C107" s="8" t="s">
        <v>26</v>
      </c>
      <c r="D107" s="8"/>
      <c r="E107" s="8"/>
      <c r="F107" s="8"/>
      <c r="G107" s="8" t="s">
        <v>11</v>
      </c>
      <c r="H107" s="8">
        <f>H108*0.5+H112*0.3+H113*0.2</f>
        <v>0</v>
      </c>
      <c r="I107" s="8"/>
    </row>
    <row r="108" s="1" customFormat="1" ht="15" spans="1:9">
      <c r="A108" s="5">
        <v>16</v>
      </c>
      <c r="B108" s="5" t="s">
        <v>83</v>
      </c>
      <c r="C108" s="5" t="s">
        <v>10</v>
      </c>
      <c r="D108" s="6">
        <v>46113</v>
      </c>
      <c r="E108" s="6">
        <v>46142</v>
      </c>
      <c r="F108" s="5"/>
      <c r="G108" s="5" t="s">
        <v>11</v>
      </c>
      <c r="H108" s="7">
        <v>0</v>
      </c>
      <c r="I108" s="5"/>
    </row>
    <row r="109" s="2" customFormat="1" ht="16.5" outlineLevel="1" spans="1:9">
      <c r="A109" s="8">
        <v>16.1</v>
      </c>
      <c r="B109" s="9" t="s">
        <v>12</v>
      </c>
      <c r="C109" s="8" t="s">
        <v>13</v>
      </c>
      <c r="D109" s="8"/>
      <c r="E109" s="8"/>
      <c r="F109" s="8"/>
      <c r="G109" s="8" t="s">
        <v>11</v>
      </c>
      <c r="H109" s="8">
        <v>0</v>
      </c>
      <c r="I109" s="8"/>
    </row>
    <row r="110" s="2" customFormat="1" ht="16.5" outlineLevel="2" collapsed="1" spans="1:9">
      <c r="A110" s="10" t="s">
        <v>84</v>
      </c>
      <c r="B110" s="11" t="s">
        <v>17</v>
      </c>
      <c r="C110" s="10" t="s">
        <v>13</v>
      </c>
      <c r="D110" s="10"/>
      <c r="E110" s="10"/>
      <c r="F110" s="10"/>
      <c r="G110" s="10" t="s">
        <v>11</v>
      </c>
      <c r="H110" s="10">
        <v>0</v>
      </c>
      <c r="I110" s="10"/>
    </row>
    <row r="111" s="3" customFormat="1" ht="16.5" outlineLevel="2" spans="1:9">
      <c r="A111" s="10" t="s">
        <v>85</v>
      </c>
      <c r="B111" s="11" t="s">
        <v>19</v>
      </c>
      <c r="C111" s="10" t="s">
        <v>13</v>
      </c>
      <c r="D111" s="10"/>
      <c r="E111" s="10"/>
      <c r="F111" s="10"/>
      <c r="G111" s="10" t="s">
        <v>11</v>
      </c>
      <c r="H111" s="10">
        <v>0</v>
      </c>
      <c r="I111" s="10"/>
    </row>
    <row r="112" s="2" customFormat="1" ht="16.5" outlineLevel="2" collapsed="1" spans="1:9">
      <c r="A112" s="10" t="s">
        <v>86</v>
      </c>
      <c r="B112" s="11" t="s">
        <v>15</v>
      </c>
      <c r="C112" s="10" t="s">
        <v>13</v>
      </c>
      <c r="D112" s="10"/>
      <c r="E112" s="10"/>
      <c r="F112" s="10"/>
      <c r="G112" s="10" t="s">
        <v>11</v>
      </c>
      <c r="H112" s="10">
        <v>0</v>
      </c>
      <c r="I112" s="10"/>
    </row>
    <row r="113" s="2" customFormat="1" ht="20" customHeight="1" outlineLevel="1" spans="1:9">
      <c r="A113" s="8">
        <v>16.2</v>
      </c>
      <c r="B113" s="9" t="s">
        <v>23</v>
      </c>
      <c r="C113" s="8" t="s">
        <v>24</v>
      </c>
      <c r="D113" s="8"/>
      <c r="E113" s="8"/>
      <c r="F113" s="8"/>
      <c r="G113" s="8" t="s">
        <v>11</v>
      </c>
      <c r="H113" s="14">
        <v>0</v>
      </c>
      <c r="I113" s="8"/>
    </row>
    <row r="114" s="2" customFormat="1" ht="16.5" outlineLevel="1" spans="1:9">
      <c r="A114" s="8">
        <v>16.3</v>
      </c>
      <c r="B114" s="9" t="s">
        <v>25</v>
      </c>
      <c r="C114" s="8" t="s">
        <v>26</v>
      </c>
      <c r="D114" s="8"/>
      <c r="E114" s="8"/>
      <c r="F114" s="8"/>
      <c r="G114" s="8" t="s">
        <v>11</v>
      </c>
      <c r="H114" s="8">
        <f>H115*0.5+H119*0.3+H120*0.2</f>
        <v>0</v>
      </c>
      <c r="I114" s="8"/>
    </row>
    <row r="115" s="1" customFormat="1" ht="15" spans="1:9">
      <c r="A115" s="5">
        <v>17</v>
      </c>
      <c r="B115" s="5" t="s">
        <v>87</v>
      </c>
      <c r="C115" s="5" t="s">
        <v>10</v>
      </c>
      <c r="D115" s="6">
        <v>46113</v>
      </c>
      <c r="E115" s="6">
        <v>46142</v>
      </c>
      <c r="F115" s="5"/>
      <c r="G115" s="5" t="s">
        <v>11</v>
      </c>
      <c r="H115" s="7">
        <v>0</v>
      </c>
      <c r="I115" s="5"/>
    </row>
    <row r="116" s="2" customFormat="1" ht="16.5" outlineLevel="1" spans="1:9">
      <c r="A116" s="8">
        <v>17.1</v>
      </c>
      <c r="B116" s="9" t="s">
        <v>12</v>
      </c>
      <c r="C116" s="8" t="s">
        <v>13</v>
      </c>
      <c r="D116" s="8"/>
      <c r="E116" s="8"/>
      <c r="F116" s="8"/>
      <c r="G116" s="8" t="s">
        <v>11</v>
      </c>
      <c r="H116" s="14">
        <v>0</v>
      </c>
      <c r="I116" s="8"/>
    </row>
    <row r="117" s="3" customFormat="1" ht="16.5" outlineLevel="2" spans="1:9">
      <c r="A117" s="10" t="s">
        <v>88</v>
      </c>
      <c r="B117" s="11" t="s">
        <v>17</v>
      </c>
      <c r="C117" s="10" t="s">
        <v>13</v>
      </c>
      <c r="D117" s="10"/>
      <c r="E117" s="10"/>
      <c r="F117" s="10"/>
      <c r="G117" s="10" t="s">
        <v>11</v>
      </c>
      <c r="H117" s="10">
        <v>0</v>
      </c>
      <c r="I117" s="10"/>
    </row>
    <row r="118" s="3" customFormat="1" ht="16.5" outlineLevel="2" spans="1:9">
      <c r="A118" s="10" t="s">
        <v>89</v>
      </c>
      <c r="B118" s="11" t="s">
        <v>19</v>
      </c>
      <c r="C118" s="10" t="s">
        <v>13</v>
      </c>
      <c r="D118" s="10"/>
      <c r="E118" s="10"/>
      <c r="F118" s="10"/>
      <c r="G118" s="10" t="s">
        <v>11</v>
      </c>
      <c r="H118" s="10">
        <v>0</v>
      </c>
      <c r="I118" s="10"/>
    </row>
    <row r="119" ht="16.5" outlineLevel="2" collapsed="1" spans="1:9">
      <c r="A119" s="10" t="s">
        <v>90</v>
      </c>
      <c r="B119" s="11" t="s">
        <v>15</v>
      </c>
      <c r="C119" s="10" t="s">
        <v>13</v>
      </c>
      <c r="D119" s="10"/>
      <c r="E119" s="10"/>
      <c r="F119" s="10"/>
      <c r="G119" s="10" t="s">
        <v>11</v>
      </c>
      <c r="H119" s="10">
        <v>0</v>
      </c>
      <c r="I119" s="10"/>
    </row>
    <row r="120" hidden="1" spans="1:9">
      <c r="H120" s="15"/>
    </row>
    <row r="121" hidden="1" spans="1:9">
      <c r="H121" s="15"/>
    </row>
    <row r="122" hidden="1" spans="1:9">
      <c r="H122" s="15"/>
    </row>
    <row r="123" hidden="1" spans="1:9">
      <c r="H123" s="15"/>
    </row>
    <row r="124" hidden="1" spans="1:9">
      <c r="H124" s="15"/>
    </row>
    <row r="125" hidden="1" spans="1:9">
      <c r="H125" s="15"/>
    </row>
    <row r="126" hidden="1" spans="1:9">
      <c r="H126" s="15"/>
    </row>
    <row r="127" hidden="1" spans="1:9">
      <c r="H127" s="15"/>
    </row>
    <row r="128" hidden="1" spans="1:9">
      <c r="H128" s="15"/>
    </row>
    <row r="129" hidden="1" spans="8:8">
      <c r="H129" s="15"/>
    </row>
    <row r="130" hidden="1" spans="8:8">
      <c r="H130" s="15"/>
    </row>
    <row r="131" hidden="1" spans="8:8">
      <c r="H131" s="16"/>
    </row>
    <row r="132" hidden="1" spans="8:8">
      <c r="H132" s="16"/>
    </row>
    <row r="133" hidden="1" spans="8:8">
      <c r="H133" s="16"/>
    </row>
    <row r="134" hidden="1" spans="8:8">
      <c r="H134" s="16"/>
    </row>
    <row r="135" hidden="1" spans="8:8">
      <c r="H135" s="16"/>
    </row>
    <row r="136" hidden="1" spans="8:8">
      <c r="H136" s="16"/>
    </row>
    <row r="137" hidden="1" spans="8:8">
      <c r="H137" s="16"/>
    </row>
    <row r="138" hidden="1" spans="8:8">
      <c r="H138" s="16"/>
    </row>
    <row r="139" hidden="1" spans="8:8">
      <c r="H139" s="16"/>
    </row>
    <row r="140" hidden="1" spans="8:8">
      <c r="H140" s="16"/>
    </row>
    <row r="141" hidden="1" spans="8:8">
      <c r="H141" s="16"/>
    </row>
    <row r="142" hidden="1" spans="8:8">
      <c r="H142" s="16"/>
    </row>
    <row r="143" hidden="1" spans="8:8">
      <c r="H143" s="16"/>
    </row>
    <row r="144" hidden="1" spans="8:8">
      <c r="H144" s="16"/>
    </row>
    <row r="145" hidden="1" spans="8:8">
      <c r="H145" s="16"/>
    </row>
    <row r="146" hidden="1" spans="8:8">
      <c r="H146" s="16"/>
    </row>
    <row r="147" hidden="1" spans="8:8">
      <c r="H147" s="16"/>
    </row>
    <row r="148" hidden="1" spans="8:8">
      <c r="H148" s="16"/>
    </row>
    <row r="149" hidden="1" spans="8:8">
      <c r="H149" s="16"/>
    </row>
    <row r="150" hidden="1" spans="8:8">
      <c r="H150" s="16"/>
    </row>
    <row r="151" hidden="1" spans="8:8">
      <c r="H151" s="16"/>
    </row>
    <row r="152" hidden="1" spans="8:8">
      <c r="H152" s="16"/>
    </row>
    <row r="153" hidden="1" spans="8:8">
      <c r="H153" s="16"/>
    </row>
    <row r="154" hidden="1" spans="8:8">
      <c r="H154" s="16"/>
    </row>
    <row r="155" hidden="1" spans="8:8">
      <c r="H155" s="16"/>
    </row>
    <row r="156" hidden="1" spans="8:8">
      <c r="H156" s="16"/>
    </row>
    <row r="157" hidden="1" spans="8:8">
      <c r="H157" s="16"/>
    </row>
    <row r="158" hidden="1" spans="8:8">
      <c r="H158" s="16"/>
    </row>
    <row r="159" hidden="1" spans="8:8">
      <c r="H159" s="16"/>
    </row>
    <row r="160" hidden="1" spans="8:8">
      <c r="H160" s="16"/>
    </row>
    <row r="161" hidden="1" spans="8:8">
      <c r="H161" s="16"/>
    </row>
    <row r="162" hidden="1" spans="8:8">
      <c r="H162" s="16"/>
    </row>
    <row r="163" hidden="1" spans="8:8">
      <c r="H163" s="16"/>
    </row>
    <row r="164" hidden="1" spans="8:8">
      <c r="H164" s="16"/>
    </row>
    <row r="165" hidden="1" spans="8:8">
      <c r="H165" s="16"/>
    </row>
    <row r="166" hidden="1" spans="8:8">
      <c r="H166" s="16"/>
    </row>
    <row r="167" hidden="1" spans="8:8">
      <c r="H167" s="16"/>
    </row>
    <row r="168" hidden="1" spans="8:8">
      <c r="H168" s="16"/>
    </row>
    <row r="169" hidden="1" spans="8:8">
      <c r="H169" s="16"/>
    </row>
    <row r="170" hidden="1" spans="8:8">
      <c r="H170" s="16"/>
    </row>
    <row r="171" hidden="1" spans="8:8">
      <c r="H171" s="16"/>
    </row>
    <row r="172" hidden="1" spans="8:8">
      <c r="H172" s="16"/>
    </row>
    <row r="173" hidden="1" spans="8:8">
      <c r="H173" s="16"/>
    </row>
    <row r="174" hidden="1" spans="8:8">
      <c r="H174" s="16"/>
    </row>
    <row r="175" hidden="1" spans="8:8">
      <c r="H175" s="16"/>
    </row>
    <row r="176" hidden="1" spans="8:8">
      <c r="H176" s="16"/>
    </row>
    <row r="177" hidden="1" spans="8:8">
      <c r="H177" s="16"/>
    </row>
    <row r="178" hidden="1" spans="8:8">
      <c r="H178" s="16"/>
    </row>
    <row r="179" hidden="1" spans="8:8">
      <c r="H179" s="16"/>
    </row>
    <row r="180" hidden="1" spans="8:8">
      <c r="H180" s="16"/>
    </row>
    <row r="181" hidden="1" spans="8:8">
      <c r="H181" s="16"/>
    </row>
    <row r="182" hidden="1" spans="8:8">
      <c r="H182" s="16"/>
    </row>
    <row r="183" hidden="1" spans="8:8">
      <c r="H183" s="16"/>
    </row>
    <row r="184" hidden="1" spans="8:8">
      <c r="H184" s="16"/>
    </row>
    <row r="185" hidden="1" spans="8:8">
      <c r="H185" s="16"/>
    </row>
    <row r="186" hidden="1" spans="8:8">
      <c r="H186" s="16"/>
    </row>
    <row r="187" hidden="1" spans="8:8">
      <c r="H187" s="16"/>
    </row>
    <row r="188" hidden="1" spans="8:8">
      <c r="H188" s="16"/>
    </row>
    <row r="189" hidden="1" spans="8:8">
      <c r="H189" s="16"/>
    </row>
    <row r="190" hidden="1" spans="8:8">
      <c r="H190" s="16"/>
    </row>
    <row r="191" hidden="1" spans="8:8">
      <c r="H191" s="16"/>
    </row>
    <row r="192" hidden="1" spans="8:8">
      <c r="H192" s="16"/>
    </row>
    <row r="193" hidden="1" spans="8:8">
      <c r="H193" s="16"/>
    </row>
    <row r="194" hidden="1" spans="8:8">
      <c r="H194" s="16"/>
    </row>
    <row r="195" hidden="1" spans="8:8">
      <c r="H195" s="16"/>
    </row>
    <row r="196" hidden="1" spans="8:8">
      <c r="H196" s="16"/>
    </row>
    <row r="197" hidden="1" spans="8:8">
      <c r="H197" s="16"/>
    </row>
    <row r="198" hidden="1" spans="8:8">
      <c r="H198" s="16"/>
    </row>
    <row r="199" hidden="1" spans="8:8">
      <c r="H199" s="16"/>
    </row>
    <row r="200" hidden="1" spans="8:8">
      <c r="H200" s="16"/>
    </row>
    <row r="201" hidden="1" spans="8:8">
      <c r="H201" s="16"/>
    </row>
    <row r="202" hidden="1" spans="8:8">
      <c r="H202" s="16"/>
    </row>
    <row r="203" hidden="1" spans="8:8">
      <c r="H203" s="16"/>
    </row>
    <row r="204" hidden="1" spans="8:8">
      <c r="H204" s="16"/>
    </row>
    <row r="205" hidden="1" spans="8:8">
      <c r="H205" s="16"/>
    </row>
    <row r="206" hidden="1" spans="8:8">
      <c r="H206" s="16"/>
    </row>
    <row r="207" hidden="1" spans="8:8">
      <c r="H207" s="16"/>
    </row>
    <row r="208" hidden="1" spans="8:8">
      <c r="H208" s="16"/>
    </row>
    <row r="209" hidden="1" spans="8:8">
      <c r="H209" s="16"/>
    </row>
    <row r="210" hidden="1" spans="8:8">
      <c r="H210" s="16"/>
    </row>
    <row r="211" hidden="1" spans="8:8">
      <c r="H211" s="16"/>
    </row>
    <row r="212" hidden="1" spans="8:8">
      <c r="H212" s="16"/>
    </row>
    <row r="213" hidden="1" spans="8:8">
      <c r="H213" s="16"/>
    </row>
    <row r="214" hidden="1" spans="8:8">
      <c r="H214" s="16"/>
    </row>
    <row r="215" hidden="1" spans="8:8">
      <c r="H215" s="16"/>
    </row>
    <row r="216" hidden="1" spans="8:8">
      <c r="H216" s="16"/>
    </row>
    <row r="217" hidden="1" spans="8:8">
      <c r="H217" s="16"/>
    </row>
    <row r="218" hidden="1" spans="8:8">
      <c r="H218" s="16"/>
    </row>
    <row r="219" hidden="1" spans="8:8">
      <c r="H219" s="16"/>
    </row>
    <row r="220" hidden="1" spans="8:8">
      <c r="H220" s="16"/>
    </row>
    <row r="221" hidden="1" spans="8:8">
      <c r="H221" s="16"/>
    </row>
    <row r="222" hidden="1" spans="8:8">
      <c r="H222" s="16"/>
    </row>
    <row r="223" hidden="1" spans="8:8">
      <c r="H223" s="16"/>
    </row>
    <row r="224" hidden="1" spans="8:8">
      <c r="H224" s="16"/>
    </row>
    <row r="225" hidden="1" spans="8:8">
      <c r="H225" s="16"/>
    </row>
    <row r="226" hidden="1" spans="8:8">
      <c r="H226" s="16"/>
    </row>
    <row r="227" hidden="1" spans="8:8">
      <c r="H227" s="16"/>
    </row>
    <row r="228" hidden="1" spans="8:8">
      <c r="H228" s="16"/>
    </row>
    <row r="229" hidden="1" spans="8:8">
      <c r="H229" s="16"/>
    </row>
    <row r="230" hidden="1" spans="8:8">
      <c r="H230" s="16"/>
    </row>
    <row r="231" hidden="1" spans="8:8">
      <c r="H231" s="16"/>
    </row>
    <row r="232" hidden="1" spans="8:8">
      <c r="H232" s="16"/>
    </row>
    <row r="233" hidden="1" spans="8:8">
      <c r="H233" s="16"/>
    </row>
    <row r="234" hidden="1" spans="8:8">
      <c r="H234" s="16"/>
    </row>
    <row r="235" hidden="1" spans="8:8">
      <c r="H235" s="16"/>
    </row>
    <row r="236" hidden="1" spans="8:8">
      <c r="H236" s="16"/>
    </row>
    <row r="237" hidden="1" spans="8:8">
      <c r="H237" s="16"/>
    </row>
    <row r="238" hidden="1" spans="8:8">
      <c r="H238" s="16"/>
    </row>
    <row r="239" hidden="1" spans="8:8">
      <c r="H239" s="16"/>
    </row>
    <row r="240" hidden="1" spans="8:8">
      <c r="H240" s="16"/>
    </row>
    <row r="241" hidden="1" spans="8:8">
      <c r="H241" s="16"/>
    </row>
    <row r="242" hidden="1" spans="8:8">
      <c r="H242" s="16"/>
    </row>
    <row r="243" hidden="1" spans="8:8">
      <c r="H243" s="16"/>
    </row>
    <row r="244" hidden="1" spans="8:8">
      <c r="H244" s="16"/>
    </row>
    <row r="245" hidden="1" spans="8:8">
      <c r="H245" s="16"/>
    </row>
    <row r="246" hidden="1" spans="8:8">
      <c r="H246" s="16"/>
    </row>
    <row r="247" hidden="1" spans="8:8">
      <c r="H247" s="16"/>
    </row>
    <row r="248" hidden="1" spans="8:8">
      <c r="H248" s="16"/>
    </row>
    <row r="249" hidden="1" spans="8:8">
      <c r="H249" s="16"/>
    </row>
    <row r="250" hidden="1" spans="8:8">
      <c r="H250" s="16"/>
    </row>
    <row r="251" hidden="1" spans="8:8">
      <c r="H251" s="16"/>
    </row>
    <row r="252" hidden="1" spans="8:8">
      <c r="H252" s="16"/>
    </row>
    <row r="253" hidden="1" spans="8:8">
      <c r="H253" s="16"/>
    </row>
    <row r="254" hidden="1" spans="8:8">
      <c r="H254" s="16"/>
    </row>
    <row r="255" hidden="1" spans="8:8">
      <c r="H255" s="16"/>
    </row>
    <row r="256" hidden="1" spans="8:8">
      <c r="H256" s="16"/>
    </row>
    <row r="257" hidden="1" spans="8:8">
      <c r="H257" s="16"/>
    </row>
    <row r="258" hidden="1" spans="8:8">
      <c r="H258" s="16"/>
    </row>
    <row r="259" hidden="1" spans="8:8">
      <c r="H259" s="16"/>
    </row>
    <row r="260" hidden="1" spans="8:8">
      <c r="H260" s="16"/>
    </row>
    <row r="261" hidden="1" spans="8:8">
      <c r="H261" s="16"/>
    </row>
    <row r="262" hidden="1" spans="8:8">
      <c r="H262" s="16"/>
    </row>
    <row r="263" hidden="1" spans="8:8">
      <c r="H263" s="16"/>
    </row>
    <row r="264" hidden="1" spans="8:8">
      <c r="H264" s="16"/>
    </row>
    <row r="265" hidden="1" spans="8:8">
      <c r="H265" s="16"/>
    </row>
    <row r="266" hidden="1" spans="8:8">
      <c r="H266" s="16"/>
    </row>
    <row r="267" hidden="1" spans="8:8">
      <c r="H267" s="16"/>
    </row>
    <row r="268" hidden="1" spans="8:8">
      <c r="H268" s="16"/>
    </row>
    <row r="269" hidden="1" spans="8:8">
      <c r="H269" s="16"/>
    </row>
    <row r="270" hidden="1" spans="8:8">
      <c r="H270" s="16"/>
    </row>
    <row r="271" hidden="1" spans="8:8">
      <c r="H271" s="16"/>
    </row>
    <row r="272" hidden="1" spans="8:8">
      <c r="H272" s="16"/>
    </row>
    <row r="273" hidden="1" spans="8:8">
      <c r="H273" s="16"/>
    </row>
    <row r="274" hidden="1" spans="8:8">
      <c r="H274" s="16"/>
    </row>
    <row r="275" hidden="1" spans="8:8">
      <c r="H275" s="16"/>
    </row>
    <row r="276" hidden="1" spans="8:8">
      <c r="H276" s="16"/>
    </row>
    <row r="277" hidden="1" spans="8:8">
      <c r="H277" s="16"/>
    </row>
    <row r="278" hidden="1" spans="8:8">
      <c r="H278" s="16"/>
    </row>
    <row r="279" hidden="1" spans="8:8">
      <c r="H279" s="16"/>
    </row>
    <row r="280" hidden="1" spans="8:8">
      <c r="H280" s="16"/>
    </row>
    <row r="281" hidden="1" spans="8:8">
      <c r="H281" s="16"/>
    </row>
    <row r="282" hidden="1" spans="8:8">
      <c r="H282" s="16"/>
    </row>
    <row r="283" hidden="1" spans="8:8">
      <c r="H283" s="16"/>
    </row>
    <row r="284" hidden="1" spans="8:8">
      <c r="H284" s="16"/>
    </row>
    <row r="285" hidden="1" spans="8:8">
      <c r="H285" s="16"/>
    </row>
    <row r="286" hidden="1" spans="8:8">
      <c r="H286" s="16"/>
    </row>
    <row r="287" hidden="1" spans="8:8">
      <c r="H287" s="16"/>
    </row>
    <row r="288" hidden="1" spans="8:8">
      <c r="H288" s="16"/>
    </row>
    <row r="289" hidden="1" spans="8:8">
      <c r="H289" s="16"/>
    </row>
    <row r="290" hidden="1" spans="8:8">
      <c r="H290" s="16"/>
    </row>
    <row r="291" hidden="1" spans="8:8">
      <c r="H291" s="16"/>
    </row>
    <row r="292" hidden="1" spans="8:8">
      <c r="H292" s="16"/>
    </row>
    <row r="293" hidden="1" spans="8:8">
      <c r="H293" s="16"/>
    </row>
    <row r="294" hidden="1" spans="8:8">
      <c r="H294" s="16"/>
    </row>
    <row r="295" hidden="1" spans="8:8">
      <c r="H295" s="16"/>
    </row>
    <row r="296" hidden="1" spans="8:8">
      <c r="H296" s="16"/>
    </row>
    <row r="297" hidden="1" spans="8:8">
      <c r="H297" s="16"/>
    </row>
    <row r="298" hidden="1" spans="8:8">
      <c r="H298" s="16"/>
    </row>
    <row r="299" hidden="1" spans="8:8">
      <c r="H299" s="16"/>
    </row>
    <row r="300" hidden="1" spans="8:8">
      <c r="H300" s="16"/>
    </row>
    <row r="301" hidden="1" spans="8:8">
      <c r="H301" s="16"/>
    </row>
    <row r="302" hidden="1" spans="8:8">
      <c r="H302" s="16"/>
    </row>
    <row r="303" hidden="1" spans="8:8">
      <c r="H303" s="16"/>
    </row>
    <row r="304" hidden="1" spans="8:8">
      <c r="H304" s="16"/>
    </row>
    <row r="305" hidden="1" spans="8:8">
      <c r="H305" s="16"/>
    </row>
    <row r="306" hidden="1" spans="8:8">
      <c r="H306" s="16"/>
    </row>
    <row r="307" hidden="1" spans="8:8">
      <c r="H307" s="16"/>
    </row>
    <row r="308" hidden="1" spans="8:8">
      <c r="H308" s="16"/>
    </row>
    <row r="309" hidden="1" spans="8:8">
      <c r="H309" s="16"/>
    </row>
    <row r="310" hidden="1" spans="8:8">
      <c r="H310" s="16"/>
    </row>
    <row r="311" hidden="1" spans="8:8">
      <c r="H311" s="16"/>
    </row>
    <row r="312" hidden="1" spans="8:8">
      <c r="H312" s="16"/>
    </row>
    <row r="313" hidden="1" spans="8:8">
      <c r="H313" s="16"/>
    </row>
    <row r="314" hidden="1" spans="8:8">
      <c r="H314" s="16"/>
    </row>
    <row r="315" hidden="1" spans="8:8">
      <c r="H315" s="16"/>
    </row>
    <row r="316" hidden="1" spans="8:8">
      <c r="H316" s="16"/>
    </row>
    <row r="317" hidden="1" spans="8:8">
      <c r="H317" s="16"/>
    </row>
    <row r="318" hidden="1" spans="8:8">
      <c r="H318" s="16"/>
    </row>
    <row r="319" hidden="1" spans="8:8">
      <c r="H319" s="16"/>
    </row>
    <row r="320" hidden="1" spans="8:8">
      <c r="H320" s="16"/>
    </row>
    <row r="321" hidden="1" spans="8:8">
      <c r="H321" s="16"/>
    </row>
    <row r="322" hidden="1" spans="8:8">
      <c r="H322" s="16"/>
    </row>
    <row r="323" hidden="1" spans="8:8">
      <c r="H323" s="16"/>
    </row>
    <row r="324" hidden="1" spans="8:8">
      <c r="H324" s="16"/>
    </row>
    <row r="325" hidden="1" spans="8:8">
      <c r="H325" s="16"/>
    </row>
    <row r="326" hidden="1" spans="8:8">
      <c r="H326" s="16"/>
    </row>
    <row r="327" hidden="1" spans="8:8">
      <c r="H327" s="16"/>
    </row>
    <row r="328" hidden="1" spans="8:8">
      <c r="H328" s="16"/>
    </row>
    <row r="329" hidden="1" spans="8:8">
      <c r="H329" s="16"/>
    </row>
    <row r="330" hidden="1" spans="8:8">
      <c r="H330" s="16"/>
    </row>
    <row r="331" hidden="1" spans="8:8">
      <c r="H331" s="16"/>
    </row>
    <row r="332" hidden="1" spans="8:8">
      <c r="H332" s="16"/>
    </row>
    <row r="333" hidden="1" spans="8:8">
      <c r="H333" s="16"/>
    </row>
    <row r="334" hidden="1" spans="8:8">
      <c r="H334" s="16"/>
    </row>
    <row r="335" hidden="1" spans="8:8">
      <c r="H335" s="16"/>
    </row>
    <row r="336" hidden="1" spans="8:8">
      <c r="H336" s="16"/>
    </row>
    <row r="337" hidden="1" spans="8:8">
      <c r="H337" s="16"/>
    </row>
    <row r="338" hidden="1" spans="8:8">
      <c r="H338" s="16"/>
    </row>
    <row r="339" hidden="1" spans="8:8">
      <c r="H339" s="16"/>
    </row>
    <row r="340" hidden="1" spans="8:8">
      <c r="H340" s="16"/>
    </row>
    <row r="341" hidden="1" spans="8:8">
      <c r="H341" s="16"/>
    </row>
    <row r="342" hidden="1" spans="8:8">
      <c r="H342" s="16"/>
    </row>
    <row r="343" hidden="1" spans="8:8">
      <c r="H343" s="16"/>
    </row>
    <row r="344" hidden="1" spans="8:8">
      <c r="H344" s="16"/>
    </row>
    <row r="345" hidden="1" spans="8:8">
      <c r="H345" s="16"/>
    </row>
    <row r="346" hidden="1" spans="8:8">
      <c r="H346" s="16"/>
    </row>
    <row r="347" hidden="1" spans="8:8">
      <c r="H347" s="16"/>
    </row>
    <row r="348" hidden="1" spans="8:8">
      <c r="H348" s="16"/>
    </row>
    <row r="349" hidden="1" spans="8:8">
      <c r="H349" s="16"/>
    </row>
    <row r="350" hidden="1" spans="8:8">
      <c r="H350" s="16"/>
    </row>
    <row r="351" hidden="1" spans="8:8">
      <c r="H351" s="16"/>
    </row>
    <row r="352" hidden="1" spans="8:8">
      <c r="H352" s="16"/>
    </row>
    <row r="353" hidden="1" spans="8:8">
      <c r="H353" s="16"/>
    </row>
    <row r="354" hidden="1" spans="8:8">
      <c r="H354" s="16"/>
    </row>
    <row r="355" hidden="1" spans="8:8">
      <c r="H355" s="16"/>
    </row>
    <row r="356" hidden="1" spans="8:8">
      <c r="H356" s="16"/>
    </row>
    <row r="357" hidden="1" spans="8:8">
      <c r="H357" s="16"/>
    </row>
    <row r="358" hidden="1" spans="8:8">
      <c r="H358" s="16"/>
    </row>
    <row r="359" hidden="1" spans="8:8">
      <c r="H359" s="16"/>
    </row>
    <row r="360" hidden="1" spans="8:8">
      <c r="H360" s="16"/>
    </row>
    <row r="361" hidden="1" spans="8:8">
      <c r="H361" s="16"/>
    </row>
    <row r="362" hidden="1" spans="8:8">
      <c r="H362" s="16"/>
    </row>
    <row r="363" hidden="1" spans="8:8">
      <c r="H363" s="16"/>
    </row>
    <row r="364" hidden="1" spans="8:8">
      <c r="H364" s="16"/>
    </row>
    <row r="365" hidden="1" spans="8:8">
      <c r="H365" s="16"/>
    </row>
    <row r="366" hidden="1" spans="8:8">
      <c r="H366" s="16"/>
    </row>
    <row r="367" hidden="1" spans="8:8">
      <c r="H367" s="16"/>
    </row>
    <row r="368" hidden="1" spans="8:8">
      <c r="H368" s="16"/>
    </row>
    <row r="369" hidden="1" spans="8:8">
      <c r="H369" s="16"/>
    </row>
    <row r="370" hidden="1" spans="8:8">
      <c r="H370" s="16"/>
    </row>
    <row r="371" hidden="1" spans="8:8">
      <c r="H371" s="16"/>
    </row>
    <row r="372" hidden="1" spans="8:8">
      <c r="H372" s="16"/>
    </row>
    <row r="373" hidden="1" spans="8:8">
      <c r="H373" s="16"/>
    </row>
    <row r="374" hidden="1" spans="8:8">
      <c r="H374" s="16"/>
    </row>
    <row r="375" hidden="1" spans="8:8">
      <c r="H375" s="16"/>
    </row>
    <row r="376" hidden="1" spans="8:8">
      <c r="H376" s="16"/>
    </row>
    <row r="377" hidden="1" spans="8:8">
      <c r="H377" s="16"/>
    </row>
    <row r="378" hidden="1" spans="8:8">
      <c r="H378" s="16"/>
    </row>
    <row r="379" hidden="1" spans="8:8">
      <c r="H379" s="16"/>
    </row>
    <row r="380" hidden="1" spans="8:8">
      <c r="H380" s="16"/>
    </row>
    <row r="381" hidden="1" spans="8:8">
      <c r="H381" s="16"/>
    </row>
    <row r="382" hidden="1" spans="8:8">
      <c r="H382" s="16"/>
    </row>
    <row r="383" hidden="1" spans="8:8">
      <c r="H383" s="16"/>
    </row>
    <row r="384" hidden="1" spans="8:8">
      <c r="H384" s="16"/>
    </row>
    <row r="385" hidden="1" spans="8:8">
      <c r="H385" s="16"/>
    </row>
    <row r="386" hidden="1" spans="8:8">
      <c r="H386" s="16"/>
    </row>
    <row r="387" hidden="1" spans="8:8">
      <c r="H387" s="16"/>
    </row>
    <row r="388" hidden="1" spans="8:8">
      <c r="H388" s="16"/>
    </row>
    <row r="389" hidden="1" spans="8:8">
      <c r="H389" s="16"/>
    </row>
    <row r="390" hidden="1" spans="8:8">
      <c r="H390" s="16"/>
    </row>
    <row r="391" hidden="1" spans="8:8">
      <c r="H391" s="16"/>
    </row>
    <row r="392" hidden="1" spans="8:8">
      <c r="H392" s="16"/>
    </row>
    <row r="393" hidden="1" spans="8:8">
      <c r="H393" s="16"/>
    </row>
    <row r="394" hidden="1" spans="8:8">
      <c r="H394" s="16"/>
    </row>
    <row r="395" hidden="1" spans="8:8">
      <c r="H395" s="16"/>
    </row>
    <row r="396" hidden="1" spans="8:8">
      <c r="H396" s="16"/>
    </row>
    <row r="397" hidden="1" spans="8:8">
      <c r="H397" s="16"/>
    </row>
    <row r="398" hidden="1" spans="8:8">
      <c r="H398" s="16"/>
    </row>
    <row r="399" hidden="1" spans="8:8">
      <c r="H399" s="16"/>
    </row>
    <row r="400" hidden="1" spans="8:8">
      <c r="H400" s="16"/>
    </row>
    <row r="401" hidden="1" spans="8:8">
      <c r="H401" s="16"/>
    </row>
    <row r="402" hidden="1" spans="8:8">
      <c r="H402" s="16"/>
    </row>
    <row r="403" hidden="1" spans="8:8">
      <c r="H403" s="16"/>
    </row>
    <row r="404" hidden="1" spans="8:8">
      <c r="H404" s="16"/>
    </row>
    <row r="405" hidden="1" spans="8:8">
      <c r="H405" s="16"/>
    </row>
    <row r="406" hidden="1" spans="8:8">
      <c r="H406" s="16"/>
    </row>
    <row r="407" hidden="1" spans="8:8">
      <c r="H407" s="16"/>
    </row>
    <row r="408" hidden="1" spans="8:8">
      <c r="H408" s="16"/>
    </row>
    <row r="409" hidden="1" spans="8:8">
      <c r="H409" s="16"/>
    </row>
    <row r="410" hidden="1" spans="8:8">
      <c r="H410" s="16"/>
    </row>
    <row r="411" hidden="1" spans="8:8">
      <c r="H411" s="16"/>
    </row>
    <row r="412" hidden="1" spans="8:8">
      <c r="H412" s="16"/>
    </row>
    <row r="413" hidden="1" spans="8:8">
      <c r="H413" s="16"/>
    </row>
    <row r="414" hidden="1" spans="8:8">
      <c r="H414" s="16"/>
    </row>
    <row r="415" hidden="1" spans="8:8">
      <c r="H415" s="16"/>
    </row>
    <row r="416" hidden="1" spans="8:8">
      <c r="H416" s="16"/>
    </row>
    <row r="417" hidden="1" spans="8:8">
      <c r="H417" s="16"/>
    </row>
    <row r="418" hidden="1" spans="8:8">
      <c r="H418" s="16"/>
    </row>
    <row r="419" hidden="1" spans="8:8">
      <c r="H419" s="16"/>
    </row>
    <row r="420" hidden="1" spans="8:8">
      <c r="H420" s="16"/>
    </row>
    <row r="421" hidden="1" spans="8:8">
      <c r="H421" s="16"/>
    </row>
    <row r="422" hidden="1" spans="8:8">
      <c r="H422" s="16"/>
    </row>
    <row r="423" hidden="1" spans="8:8">
      <c r="H423" s="16"/>
    </row>
    <row r="424" hidden="1" spans="8:8">
      <c r="H424" s="16"/>
    </row>
    <row r="425" hidden="1" spans="8:8">
      <c r="H425" s="16"/>
    </row>
    <row r="426" hidden="1" spans="8:8">
      <c r="H426" s="16"/>
    </row>
    <row r="427" hidden="1" spans="8:8">
      <c r="H427" s="16"/>
    </row>
    <row r="428" hidden="1" spans="8:8">
      <c r="H428" s="16"/>
    </row>
    <row r="429" hidden="1" spans="8:8">
      <c r="H429" s="16"/>
    </row>
    <row r="430" hidden="1" spans="8:8">
      <c r="H430" s="16"/>
    </row>
    <row r="431" hidden="1" spans="8:8">
      <c r="H431" s="16"/>
    </row>
    <row r="432" hidden="1" spans="8:8">
      <c r="H432" s="16"/>
    </row>
    <row r="433" hidden="1" spans="8:8">
      <c r="H433" s="16"/>
    </row>
    <row r="434" hidden="1" spans="8:8">
      <c r="H434" s="16"/>
    </row>
    <row r="435" hidden="1" spans="8:8">
      <c r="H435" s="16"/>
    </row>
    <row r="436" hidden="1" spans="8:8">
      <c r="H436" s="16"/>
    </row>
    <row r="437" hidden="1" spans="8:8">
      <c r="H437" s="16"/>
    </row>
    <row r="438" hidden="1" spans="8:8">
      <c r="H438" s="16"/>
    </row>
    <row r="439" hidden="1" spans="8:8">
      <c r="H439" s="16"/>
    </row>
    <row r="440" hidden="1" spans="8:8">
      <c r="H440" s="16"/>
    </row>
    <row r="441" hidden="1" spans="8:8">
      <c r="H441" s="16"/>
    </row>
    <row r="442" hidden="1" spans="8:8">
      <c r="H442" s="16"/>
    </row>
    <row r="443" hidden="1" spans="8:8">
      <c r="H443" s="16"/>
    </row>
    <row r="444" hidden="1" spans="8:8">
      <c r="H444" s="16"/>
    </row>
    <row r="445" hidden="1" spans="8:8">
      <c r="H445" s="16"/>
    </row>
    <row r="446" hidden="1" spans="8:8">
      <c r="H446" s="16"/>
    </row>
    <row r="447" hidden="1" spans="8:8">
      <c r="H447" s="16"/>
    </row>
    <row r="448" hidden="1" spans="8:8">
      <c r="H448" s="16"/>
    </row>
    <row r="449" hidden="1" spans="8:8">
      <c r="H449" s="16"/>
    </row>
    <row r="450" hidden="1" spans="8:8">
      <c r="H450" s="16"/>
    </row>
    <row r="451" hidden="1" spans="8:8">
      <c r="H451" s="16"/>
    </row>
    <row r="452" hidden="1" spans="8:8">
      <c r="H452" s="16"/>
    </row>
    <row r="453" hidden="1" spans="8:8">
      <c r="H453" s="16"/>
    </row>
    <row r="454" hidden="1" spans="8:8">
      <c r="H454" s="16"/>
    </row>
    <row r="455" hidden="1" spans="8:8">
      <c r="H455" s="16"/>
    </row>
    <row r="456" hidden="1" spans="8:8">
      <c r="H456" s="16"/>
    </row>
    <row r="457" hidden="1" spans="8:8">
      <c r="H457" s="16"/>
    </row>
    <row r="458" hidden="1" spans="8:8">
      <c r="H458" s="16"/>
    </row>
    <row r="459" hidden="1" spans="8:8">
      <c r="H459" s="16"/>
    </row>
    <row r="460" hidden="1" spans="8:8">
      <c r="H460" s="16"/>
    </row>
    <row r="461" hidden="1" spans="8:8">
      <c r="H461" s="16"/>
    </row>
    <row r="462" hidden="1" spans="8:8">
      <c r="H462" s="16"/>
    </row>
    <row r="463" hidden="1" spans="8:8">
      <c r="H463" s="16"/>
    </row>
    <row r="464" hidden="1" spans="8:8">
      <c r="H464" s="16"/>
    </row>
    <row r="465" hidden="1" spans="8:8">
      <c r="H465" s="16"/>
    </row>
    <row r="466" hidden="1" spans="8:8">
      <c r="H466" s="16"/>
    </row>
    <row r="467" hidden="1" spans="8:8">
      <c r="H467" s="16"/>
    </row>
    <row r="468" hidden="1" spans="8:8">
      <c r="H468" s="16"/>
    </row>
    <row r="469" hidden="1" spans="8:8">
      <c r="H469" s="16"/>
    </row>
    <row r="470" hidden="1" spans="8:8">
      <c r="H470" s="16"/>
    </row>
    <row r="471" hidden="1" spans="8:8">
      <c r="H471" s="16"/>
    </row>
    <row r="472" hidden="1" spans="8:8">
      <c r="H472" s="16"/>
    </row>
    <row r="473" hidden="1" spans="8:8">
      <c r="H473" s="16"/>
    </row>
    <row r="474" hidden="1" spans="8:8">
      <c r="H474" s="16"/>
    </row>
    <row r="475" hidden="1" spans="8:8">
      <c r="H475" s="16"/>
    </row>
    <row r="476" hidden="1" spans="8:8">
      <c r="H476" s="16"/>
    </row>
    <row r="477" hidden="1" spans="8:8">
      <c r="H477" s="16"/>
    </row>
    <row r="478" hidden="1" spans="8:8">
      <c r="H478" s="16"/>
    </row>
    <row r="479" hidden="1" spans="8:8">
      <c r="H479" s="16"/>
    </row>
    <row r="480" hidden="1" spans="8:8">
      <c r="H480" s="16"/>
    </row>
    <row r="481" hidden="1" spans="8:8">
      <c r="H481" s="16"/>
    </row>
    <row r="482" hidden="1" spans="8:8">
      <c r="H482" s="16"/>
    </row>
    <row r="483" hidden="1" spans="8:8">
      <c r="H483" s="16"/>
    </row>
    <row r="484" hidden="1" spans="8:8">
      <c r="H484" s="16"/>
    </row>
    <row r="485" hidden="1" spans="8:8">
      <c r="H485" s="16"/>
    </row>
    <row r="486" hidden="1" spans="8:8">
      <c r="H486" s="16"/>
    </row>
    <row r="487" hidden="1" spans="8:8">
      <c r="H487" s="16"/>
    </row>
    <row r="488" hidden="1" spans="8:8">
      <c r="H488" s="16"/>
    </row>
    <row r="489" hidden="1" spans="8:8">
      <c r="H489" s="16"/>
    </row>
    <row r="490" hidden="1" spans="8:8">
      <c r="H490" s="16"/>
    </row>
    <row r="491" hidden="1" spans="8:8">
      <c r="H491" s="16"/>
    </row>
    <row r="492" hidden="1" spans="8:8">
      <c r="H492" s="16"/>
    </row>
    <row r="493" hidden="1" spans="8:8">
      <c r="H493" s="16"/>
    </row>
    <row r="494" hidden="1" spans="8:8">
      <c r="H494" s="16"/>
    </row>
    <row r="495" hidden="1" spans="8:8">
      <c r="H495" s="16"/>
    </row>
    <row r="496" hidden="1" spans="8:8">
      <c r="H496" s="16"/>
    </row>
    <row r="497" hidden="1" spans="8:8">
      <c r="H497" s="16"/>
    </row>
    <row r="498" hidden="1" spans="8:8">
      <c r="H498" s="16"/>
    </row>
    <row r="499" hidden="1" spans="8:8">
      <c r="H499" s="16"/>
    </row>
    <row r="500" hidden="1" spans="8:8">
      <c r="H500" s="16"/>
    </row>
  </sheetData>
  <autoFilter xmlns:etc="http://www.wps.cn/officeDocument/2017/etCustomData" ref="A1:I500" etc:filterBottomFollowUsedRange="0">
    <filterColumn colId="2">
      <filters>
        <filter val="梁润锦"/>
        <filter val="黄浩亮"/>
        <filter val="冼浩鹏"/>
        <filter val="黄浩亮、梁润锦、冼浩鹏"/>
      </filters>
    </filterColumn>
    <extLst/>
  </autoFilter>
  <sortState ref="A4:I7">
    <sortCondition ref="A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开发计划定稿版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思念〃熬成灰</cp:lastModifiedBy>
  <dcterms:created xsi:type="dcterms:W3CDTF">2026-04-13T02:30:00Z</dcterms:created>
  <dcterms:modified xsi:type="dcterms:W3CDTF">2026-04-13T03:33:08Z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9F7D5D9E09EC4B4EB1084D7A3EDA7608_13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